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ThisWorkbook"/>
  <mc:AlternateContent xmlns:mc="http://schemas.openxmlformats.org/markup-compatibility/2006">
    <mc:Choice Requires="x15">
      <x15ac:absPath xmlns:x15ac="http://schemas.microsoft.com/office/spreadsheetml/2010/11/ac" url="Z:\PROJECT 1\"/>
    </mc:Choice>
  </mc:AlternateContent>
  <xr:revisionPtr revIDLastSave="0" documentId="13_ncr:1_{C488C7AE-40F5-46DC-AF2C-329CD46B7D5C}" xr6:coauthVersionLast="47" xr6:coauthVersionMax="47" xr10:uidLastSave="{00000000-0000-0000-0000-000000000000}"/>
  <bookViews>
    <workbookView xWindow="-98" yWindow="-98" windowWidth="25231" windowHeight="11895" tabRatio="720" activeTab="2" xr2:uid="{00000000-000D-0000-FFFF-FFFF00000000}"/>
  </bookViews>
  <sheets>
    <sheet name="Loss Calculator" sheetId="9" r:id="rId1"/>
    <sheet name="Aggregate payments analysis" sheetId="16" r:id="rId2"/>
    <sheet name="Premium change analysis" sheetId="11" r:id="rId3"/>
    <sheet name="1. ENC - Home Dataset (backup)" sheetId="7" state="hidden" r:id="rId4"/>
    <sheet name="1. ENC - Home Dataset" sheetId="8" r:id="rId5"/>
    <sheet name="2. Index" sheetId="1" r:id="rId6"/>
    <sheet name="3. Theft" sheetId="2" r:id="rId7"/>
    <sheet name="4. Wind-Hail" sheetId="3" r:id="rId8"/>
    <sheet name="5. Water_Damage" sheetId="4" r:id="rId9"/>
    <sheet name="6. Flood" sheetId="5" r:id="rId10"/>
    <sheet name="7. Fire" sheetId="6" r:id="rId11"/>
  </sheets>
  <definedNames>
    <definedName name="_xlnm._FilterDatabase" localSheetId="4" hidden="1">'1. ENC - Home Dataset'!$A$1:$DF$499</definedName>
    <definedName name="_xlnm._FilterDatabase" localSheetId="3" hidden="1">'1. ENC - Home Dataset (backup)'!$A$1:$E$499</definedName>
    <definedName name="_xleta.AGGREGATE" hidden="1" xlm="1">#NAME?</definedName>
    <definedName name="_xleta.COLUMN" hidden="1" xlm="1">#NAME?</definedName>
    <definedName name="_xleta.COUNT" hidden="1" xlm="1">#NAME?</definedName>
    <definedName name="_xleta.ISEVEN" hidden="1" xlm="1">#NAME?</definedName>
    <definedName name="_xleta.MOD" hidden="1" xlm="1">#NAME?</definedName>
    <definedName name="_xleta.SUM" hidden="1" xlm="1">#NAME?</definedName>
    <definedName name="_xleta.YEAR" hidden="1" xlm="1">#NAME?</definedName>
    <definedName name="accident_month">'1. ENC - Home Dataset'!$D$3:$D$499</definedName>
    <definedName name="accident_year">'1. ENC - Home Dataset'!$C$3:$C$499</definedName>
    <definedName name="claim_status">'1. ENC - Home Dataset'!$E$3:$E$499</definedName>
    <definedName name="claim_type">'1. ENC - Home Dataset'!$B$3:$B$499</definedName>
    <definedName name="claims">'1. ENC - Home Dataset'!$F$3:$CW$499</definedName>
    <definedName name="fire_df">'7. Fire'!$B$6:$K$7</definedName>
    <definedName name="flood_df">'6. Flood'!$B$6:$H$7</definedName>
    <definedName name="monthly_total_payments">'1. ENC - Home Dataset'!#REF!</definedName>
    <definedName name="theft_df">'3. Theft'!$B$6:$D$7</definedName>
    <definedName name="total_claim_payment">'1. ENC - Home Dataset'!$DF$3:$DF$499</definedName>
    <definedName name="waterdamage_df">'5. Water_Damage'!$B$6:$F$7</definedName>
    <definedName name="windhail_df">'4. Wind-Hail'!$B$6:$E$7</definedName>
    <definedName name="yearly_total_payments">'1. ENC - Home Dataset'!$CX$3:$DE$499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I30" i="9" l="1"/>
  <c r="J30" i="9" l="1"/>
  <c r="K30" i="9"/>
  <c r="L30" i="9"/>
  <c r="M30" i="9"/>
  <c r="N30" i="9"/>
  <c r="O30" i="9"/>
  <c r="P30" i="9"/>
  <c r="Q30" i="9"/>
  <c r="R30" i="9"/>
  <c r="CX9" i="8" l="1"/>
  <c r="DE499" i="8"/>
  <c r="DD499" i="8"/>
  <c r="DC499" i="8"/>
  <c r="DB499" i="8"/>
  <c r="DA499" i="8"/>
  <c r="CZ499" i="8"/>
  <c r="CY499" i="8"/>
  <c r="CX499" i="8"/>
  <c r="DE498" i="8"/>
  <c r="DD498" i="8"/>
  <c r="DC498" i="8"/>
  <c r="DB498" i="8"/>
  <c r="DA498" i="8"/>
  <c r="CZ498" i="8"/>
  <c r="CY498" i="8"/>
  <c r="CX498" i="8"/>
  <c r="DE497" i="8"/>
  <c r="DD497" i="8"/>
  <c r="DC497" i="8"/>
  <c r="DB497" i="8"/>
  <c r="DA497" i="8"/>
  <c r="CZ497" i="8"/>
  <c r="CY497" i="8"/>
  <c r="CX497" i="8"/>
  <c r="DE496" i="8"/>
  <c r="DD496" i="8"/>
  <c r="DC496" i="8"/>
  <c r="DB496" i="8"/>
  <c r="DA496" i="8"/>
  <c r="CZ496" i="8"/>
  <c r="CY496" i="8"/>
  <c r="CX496" i="8"/>
  <c r="DE495" i="8"/>
  <c r="DD495" i="8"/>
  <c r="DC495" i="8"/>
  <c r="DB495" i="8"/>
  <c r="DA495" i="8"/>
  <c r="CZ495" i="8"/>
  <c r="CY495" i="8"/>
  <c r="CX495" i="8"/>
  <c r="DE494" i="8"/>
  <c r="DD494" i="8"/>
  <c r="DC494" i="8"/>
  <c r="DB494" i="8"/>
  <c r="DA494" i="8"/>
  <c r="CZ494" i="8"/>
  <c r="CY494" i="8"/>
  <c r="CX494" i="8"/>
  <c r="DE493" i="8"/>
  <c r="DD493" i="8"/>
  <c r="DC493" i="8"/>
  <c r="DB493" i="8"/>
  <c r="DA493" i="8"/>
  <c r="CZ493" i="8"/>
  <c r="CY493" i="8"/>
  <c r="CX493" i="8"/>
  <c r="DE492" i="8"/>
  <c r="DD492" i="8"/>
  <c r="DC492" i="8"/>
  <c r="DB492" i="8"/>
  <c r="DA492" i="8"/>
  <c r="CZ492" i="8"/>
  <c r="CY492" i="8"/>
  <c r="CX492" i="8"/>
  <c r="DE491" i="8"/>
  <c r="DD491" i="8"/>
  <c r="DC491" i="8"/>
  <c r="DB491" i="8"/>
  <c r="DA491" i="8"/>
  <c r="CZ491" i="8"/>
  <c r="CY491" i="8"/>
  <c r="CX491" i="8"/>
  <c r="DE490" i="8"/>
  <c r="DD490" i="8"/>
  <c r="DC490" i="8"/>
  <c r="DB490" i="8"/>
  <c r="DA490" i="8"/>
  <c r="CZ490" i="8"/>
  <c r="CY490" i="8"/>
  <c r="CX490" i="8"/>
  <c r="DE489" i="8"/>
  <c r="DD489" i="8"/>
  <c r="DC489" i="8"/>
  <c r="DB489" i="8"/>
  <c r="DA489" i="8"/>
  <c r="CZ489" i="8"/>
  <c r="CY489" i="8"/>
  <c r="CX489" i="8"/>
  <c r="DE488" i="8"/>
  <c r="DD488" i="8"/>
  <c r="DC488" i="8"/>
  <c r="DB488" i="8"/>
  <c r="DA488" i="8"/>
  <c r="CZ488" i="8"/>
  <c r="CY488" i="8"/>
  <c r="CX488" i="8"/>
  <c r="DE487" i="8"/>
  <c r="DD487" i="8"/>
  <c r="DC487" i="8"/>
  <c r="DB487" i="8"/>
  <c r="DA487" i="8"/>
  <c r="CZ487" i="8"/>
  <c r="CY487" i="8"/>
  <c r="CX487" i="8"/>
  <c r="DE486" i="8"/>
  <c r="DD486" i="8"/>
  <c r="DC486" i="8"/>
  <c r="DB486" i="8"/>
  <c r="DA486" i="8"/>
  <c r="CZ486" i="8"/>
  <c r="CY486" i="8"/>
  <c r="CX486" i="8"/>
  <c r="DE485" i="8"/>
  <c r="DD485" i="8"/>
  <c r="DC485" i="8"/>
  <c r="DB485" i="8"/>
  <c r="DA485" i="8"/>
  <c r="CZ485" i="8"/>
  <c r="CY485" i="8"/>
  <c r="CX485" i="8"/>
  <c r="DE484" i="8"/>
  <c r="DD484" i="8"/>
  <c r="DC484" i="8"/>
  <c r="DB484" i="8"/>
  <c r="DA484" i="8"/>
  <c r="CZ484" i="8"/>
  <c r="CY484" i="8"/>
  <c r="CX484" i="8"/>
  <c r="DE483" i="8"/>
  <c r="DD483" i="8"/>
  <c r="DC483" i="8"/>
  <c r="DB483" i="8"/>
  <c r="DA483" i="8"/>
  <c r="CZ483" i="8"/>
  <c r="CY483" i="8"/>
  <c r="CX483" i="8"/>
  <c r="DE482" i="8"/>
  <c r="DD482" i="8"/>
  <c r="DC482" i="8"/>
  <c r="DB482" i="8"/>
  <c r="DA482" i="8"/>
  <c r="CZ482" i="8"/>
  <c r="CY482" i="8"/>
  <c r="CX482" i="8"/>
  <c r="DE481" i="8"/>
  <c r="DD481" i="8"/>
  <c r="DC481" i="8"/>
  <c r="DB481" i="8"/>
  <c r="DA481" i="8"/>
  <c r="CZ481" i="8"/>
  <c r="CY481" i="8"/>
  <c r="CX481" i="8"/>
  <c r="DE480" i="8"/>
  <c r="DD480" i="8"/>
  <c r="DC480" i="8"/>
  <c r="DB480" i="8"/>
  <c r="DA480" i="8"/>
  <c r="CZ480" i="8"/>
  <c r="CY480" i="8"/>
  <c r="CX480" i="8"/>
  <c r="DE479" i="8"/>
  <c r="DD479" i="8"/>
  <c r="DC479" i="8"/>
  <c r="DB479" i="8"/>
  <c r="DA479" i="8"/>
  <c r="CZ479" i="8"/>
  <c r="CY479" i="8"/>
  <c r="CX479" i="8"/>
  <c r="DE478" i="8"/>
  <c r="DD478" i="8"/>
  <c r="DC478" i="8"/>
  <c r="DB478" i="8"/>
  <c r="DA478" i="8"/>
  <c r="CZ478" i="8"/>
  <c r="CY478" i="8"/>
  <c r="CX478" i="8"/>
  <c r="DE477" i="8"/>
  <c r="DD477" i="8"/>
  <c r="DC477" i="8"/>
  <c r="DB477" i="8"/>
  <c r="DA477" i="8"/>
  <c r="CZ477" i="8"/>
  <c r="CY477" i="8"/>
  <c r="CX477" i="8"/>
  <c r="DE476" i="8"/>
  <c r="DD476" i="8"/>
  <c r="DC476" i="8"/>
  <c r="DB476" i="8"/>
  <c r="DA476" i="8"/>
  <c r="CZ476" i="8"/>
  <c r="CY476" i="8"/>
  <c r="CX476" i="8"/>
  <c r="DE475" i="8"/>
  <c r="DD475" i="8"/>
  <c r="DC475" i="8"/>
  <c r="DB475" i="8"/>
  <c r="DA475" i="8"/>
  <c r="CZ475" i="8"/>
  <c r="CY475" i="8"/>
  <c r="CX475" i="8"/>
  <c r="DE474" i="8"/>
  <c r="DD474" i="8"/>
  <c r="DC474" i="8"/>
  <c r="DB474" i="8"/>
  <c r="DA474" i="8"/>
  <c r="CZ474" i="8"/>
  <c r="CY474" i="8"/>
  <c r="CX474" i="8"/>
  <c r="DE473" i="8"/>
  <c r="DD473" i="8"/>
  <c r="DC473" i="8"/>
  <c r="DB473" i="8"/>
  <c r="DA473" i="8"/>
  <c r="CZ473" i="8"/>
  <c r="CY473" i="8"/>
  <c r="CX473" i="8"/>
  <c r="DE472" i="8"/>
  <c r="DD472" i="8"/>
  <c r="DC472" i="8"/>
  <c r="DB472" i="8"/>
  <c r="DA472" i="8"/>
  <c r="CZ472" i="8"/>
  <c r="CY472" i="8"/>
  <c r="CX472" i="8"/>
  <c r="DE471" i="8"/>
  <c r="DD471" i="8"/>
  <c r="DC471" i="8"/>
  <c r="DB471" i="8"/>
  <c r="DA471" i="8"/>
  <c r="CZ471" i="8"/>
  <c r="CY471" i="8"/>
  <c r="CX471" i="8"/>
  <c r="DE470" i="8"/>
  <c r="DD470" i="8"/>
  <c r="DC470" i="8"/>
  <c r="DB470" i="8"/>
  <c r="DA470" i="8"/>
  <c r="CZ470" i="8"/>
  <c r="CY470" i="8"/>
  <c r="CX470" i="8"/>
  <c r="DE469" i="8"/>
  <c r="DD469" i="8"/>
  <c r="DC469" i="8"/>
  <c r="DB469" i="8"/>
  <c r="DA469" i="8"/>
  <c r="CZ469" i="8"/>
  <c r="CY469" i="8"/>
  <c r="CX469" i="8"/>
  <c r="DE468" i="8"/>
  <c r="DD468" i="8"/>
  <c r="DC468" i="8"/>
  <c r="DB468" i="8"/>
  <c r="DA468" i="8"/>
  <c r="CZ468" i="8"/>
  <c r="CY468" i="8"/>
  <c r="CX468" i="8"/>
  <c r="DE467" i="8"/>
  <c r="DD467" i="8"/>
  <c r="DC467" i="8"/>
  <c r="DB467" i="8"/>
  <c r="DA467" i="8"/>
  <c r="CZ467" i="8"/>
  <c r="CY467" i="8"/>
  <c r="CX467" i="8"/>
  <c r="DE466" i="8"/>
  <c r="DD466" i="8"/>
  <c r="DC466" i="8"/>
  <c r="DB466" i="8"/>
  <c r="DA466" i="8"/>
  <c r="CZ466" i="8"/>
  <c r="CY466" i="8"/>
  <c r="CX466" i="8"/>
  <c r="DE465" i="8"/>
  <c r="DD465" i="8"/>
  <c r="DC465" i="8"/>
  <c r="DB465" i="8"/>
  <c r="DA465" i="8"/>
  <c r="CZ465" i="8"/>
  <c r="CY465" i="8"/>
  <c r="CX465" i="8"/>
  <c r="DE464" i="8"/>
  <c r="DD464" i="8"/>
  <c r="DC464" i="8"/>
  <c r="DB464" i="8"/>
  <c r="DA464" i="8"/>
  <c r="CZ464" i="8"/>
  <c r="CY464" i="8"/>
  <c r="CX464" i="8"/>
  <c r="DE463" i="8"/>
  <c r="DD463" i="8"/>
  <c r="DC463" i="8"/>
  <c r="DB463" i="8"/>
  <c r="DA463" i="8"/>
  <c r="CZ463" i="8"/>
  <c r="CY463" i="8"/>
  <c r="CX463" i="8"/>
  <c r="DE462" i="8"/>
  <c r="DD462" i="8"/>
  <c r="DC462" i="8"/>
  <c r="DB462" i="8"/>
  <c r="DA462" i="8"/>
  <c r="CZ462" i="8"/>
  <c r="CY462" i="8"/>
  <c r="CX462" i="8"/>
  <c r="DE461" i="8"/>
  <c r="DD461" i="8"/>
  <c r="DC461" i="8"/>
  <c r="DB461" i="8"/>
  <c r="DA461" i="8"/>
  <c r="CZ461" i="8"/>
  <c r="CY461" i="8"/>
  <c r="CX461" i="8"/>
  <c r="DE460" i="8"/>
  <c r="DD460" i="8"/>
  <c r="DC460" i="8"/>
  <c r="DB460" i="8"/>
  <c r="DA460" i="8"/>
  <c r="CZ460" i="8"/>
  <c r="CY460" i="8"/>
  <c r="CX460" i="8"/>
  <c r="DE459" i="8"/>
  <c r="DD459" i="8"/>
  <c r="DC459" i="8"/>
  <c r="DB459" i="8"/>
  <c r="DA459" i="8"/>
  <c r="CZ459" i="8"/>
  <c r="CY459" i="8"/>
  <c r="CX459" i="8"/>
  <c r="DE458" i="8"/>
  <c r="DD458" i="8"/>
  <c r="DC458" i="8"/>
  <c r="DB458" i="8"/>
  <c r="DA458" i="8"/>
  <c r="CZ458" i="8"/>
  <c r="CY458" i="8"/>
  <c r="CX458" i="8"/>
  <c r="DE457" i="8"/>
  <c r="DD457" i="8"/>
  <c r="DC457" i="8"/>
  <c r="DB457" i="8"/>
  <c r="DA457" i="8"/>
  <c r="CZ457" i="8"/>
  <c r="CY457" i="8"/>
  <c r="CX457" i="8"/>
  <c r="DE456" i="8"/>
  <c r="DD456" i="8"/>
  <c r="DC456" i="8"/>
  <c r="DB456" i="8"/>
  <c r="DA456" i="8"/>
  <c r="CZ456" i="8"/>
  <c r="CY456" i="8"/>
  <c r="CX456" i="8"/>
  <c r="DE455" i="8"/>
  <c r="DD455" i="8"/>
  <c r="DC455" i="8"/>
  <c r="DB455" i="8"/>
  <c r="DA455" i="8"/>
  <c r="CZ455" i="8"/>
  <c r="CY455" i="8"/>
  <c r="CX455" i="8"/>
  <c r="DE454" i="8"/>
  <c r="DD454" i="8"/>
  <c r="DC454" i="8"/>
  <c r="DB454" i="8"/>
  <c r="DA454" i="8"/>
  <c r="CZ454" i="8"/>
  <c r="CY454" i="8"/>
  <c r="CX454" i="8"/>
  <c r="DE453" i="8"/>
  <c r="DD453" i="8"/>
  <c r="DC453" i="8"/>
  <c r="DB453" i="8"/>
  <c r="DA453" i="8"/>
  <c r="CZ453" i="8"/>
  <c r="CY453" i="8"/>
  <c r="CX453" i="8"/>
  <c r="DE452" i="8"/>
  <c r="DD452" i="8"/>
  <c r="DC452" i="8"/>
  <c r="DB452" i="8"/>
  <c r="DA452" i="8"/>
  <c r="CZ452" i="8"/>
  <c r="CY452" i="8"/>
  <c r="CX452" i="8"/>
  <c r="DE451" i="8"/>
  <c r="DD451" i="8"/>
  <c r="DC451" i="8"/>
  <c r="DB451" i="8"/>
  <c r="DA451" i="8"/>
  <c r="CZ451" i="8"/>
  <c r="CY451" i="8"/>
  <c r="CX451" i="8"/>
  <c r="DE450" i="8"/>
  <c r="DD450" i="8"/>
  <c r="DC450" i="8"/>
  <c r="DB450" i="8"/>
  <c r="DA450" i="8"/>
  <c r="CZ450" i="8"/>
  <c r="CY450" i="8"/>
  <c r="CX450" i="8"/>
  <c r="DE449" i="8"/>
  <c r="DD449" i="8"/>
  <c r="DC449" i="8"/>
  <c r="DB449" i="8"/>
  <c r="DA449" i="8"/>
  <c r="CZ449" i="8"/>
  <c r="CY449" i="8"/>
  <c r="CX449" i="8"/>
  <c r="DE448" i="8"/>
  <c r="DD448" i="8"/>
  <c r="DC448" i="8"/>
  <c r="DB448" i="8"/>
  <c r="DA448" i="8"/>
  <c r="CZ448" i="8"/>
  <c r="CY448" i="8"/>
  <c r="CX448" i="8"/>
  <c r="DE447" i="8"/>
  <c r="DD447" i="8"/>
  <c r="DC447" i="8"/>
  <c r="DB447" i="8"/>
  <c r="DA447" i="8"/>
  <c r="CZ447" i="8"/>
  <c r="CY447" i="8"/>
  <c r="CX447" i="8"/>
  <c r="DE446" i="8"/>
  <c r="DD446" i="8"/>
  <c r="DC446" i="8"/>
  <c r="DB446" i="8"/>
  <c r="DA446" i="8"/>
  <c r="CZ446" i="8"/>
  <c r="CY446" i="8"/>
  <c r="CX446" i="8"/>
  <c r="DE445" i="8"/>
  <c r="DD445" i="8"/>
  <c r="DC445" i="8"/>
  <c r="DB445" i="8"/>
  <c r="DA445" i="8"/>
  <c r="CZ445" i="8"/>
  <c r="CY445" i="8"/>
  <c r="CX445" i="8"/>
  <c r="DE444" i="8"/>
  <c r="DD444" i="8"/>
  <c r="DC444" i="8"/>
  <c r="DB444" i="8"/>
  <c r="DA444" i="8"/>
  <c r="CZ444" i="8"/>
  <c r="CY444" i="8"/>
  <c r="CX444" i="8"/>
  <c r="DE443" i="8"/>
  <c r="DD443" i="8"/>
  <c r="DC443" i="8"/>
  <c r="DB443" i="8"/>
  <c r="DA443" i="8"/>
  <c r="CZ443" i="8"/>
  <c r="CY443" i="8"/>
  <c r="CX443" i="8"/>
  <c r="DE442" i="8"/>
  <c r="DD442" i="8"/>
  <c r="DC442" i="8"/>
  <c r="DB442" i="8"/>
  <c r="DA442" i="8"/>
  <c r="CZ442" i="8"/>
  <c r="CY442" i="8"/>
  <c r="CX442" i="8"/>
  <c r="DE441" i="8"/>
  <c r="DD441" i="8"/>
  <c r="DC441" i="8"/>
  <c r="DB441" i="8"/>
  <c r="DA441" i="8"/>
  <c r="CZ441" i="8"/>
  <c r="CY441" i="8"/>
  <c r="CX441" i="8"/>
  <c r="DE440" i="8"/>
  <c r="DD440" i="8"/>
  <c r="DC440" i="8"/>
  <c r="DB440" i="8"/>
  <c r="DA440" i="8"/>
  <c r="CZ440" i="8"/>
  <c r="CY440" i="8"/>
  <c r="CX440" i="8"/>
  <c r="DE439" i="8"/>
  <c r="DD439" i="8"/>
  <c r="DC439" i="8"/>
  <c r="DB439" i="8"/>
  <c r="DA439" i="8"/>
  <c r="CZ439" i="8"/>
  <c r="CY439" i="8"/>
  <c r="CX439" i="8"/>
  <c r="DE438" i="8"/>
  <c r="DD438" i="8"/>
  <c r="DC438" i="8"/>
  <c r="DB438" i="8"/>
  <c r="DA438" i="8"/>
  <c r="CZ438" i="8"/>
  <c r="CY438" i="8"/>
  <c r="CX438" i="8"/>
  <c r="DE437" i="8"/>
  <c r="DD437" i="8"/>
  <c r="DC437" i="8"/>
  <c r="DB437" i="8"/>
  <c r="DA437" i="8"/>
  <c r="CZ437" i="8"/>
  <c r="CY437" i="8"/>
  <c r="CX437" i="8"/>
  <c r="DE436" i="8"/>
  <c r="DD436" i="8"/>
  <c r="DC436" i="8"/>
  <c r="DB436" i="8"/>
  <c r="DA436" i="8"/>
  <c r="CZ436" i="8"/>
  <c r="CY436" i="8"/>
  <c r="CX436" i="8"/>
  <c r="DE435" i="8"/>
  <c r="DD435" i="8"/>
  <c r="DC435" i="8"/>
  <c r="DB435" i="8"/>
  <c r="DA435" i="8"/>
  <c r="CZ435" i="8"/>
  <c r="CY435" i="8"/>
  <c r="CX435" i="8"/>
  <c r="DE434" i="8"/>
  <c r="DD434" i="8"/>
  <c r="DC434" i="8"/>
  <c r="DB434" i="8"/>
  <c r="DA434" i="8"/>
  <c r="CZ434" i="8"/>
  <c r="CY434" i="8"/>
  <c r="CX434" i="8"/>
  <c r="DE433" i="8"/>
  <c r="DD433" i="8"/>
  <c r="DC433" i="8"/>
  <c r="DB433" i="8"/>
  <c r="DA433" i="8"/>
  <c r="CZ433" i="8"/>
  <c r="CY433" i="8"/>
  <c r="CX433" i="8"/>
  <c r="DE432" i="8"/>
  <c r="DD432" i="8"/>
  <c r="DC432" i="8"/>
  <c r="DB432" i="8"/>
  <c r="DA432" i="8"/>
  <c r="CZ432" i="8"/>
  <c r="CY432" i="8"/>
  <c r="CX432" i="8"/>
  <c r="DE431" i="8"/>
  <c r="DD431" i="8"/>
  <c r="DC431" i="8"/>
  <c r="DB431" i="8"/>
  <c r="DA431" i="8"/>
  <c r="CZ431" i="8"/>
  <c r="CY431" i="8"/>
  <c r="CX431" i="8"/>
  <c r="DE430" i="8"/>
  <c r="DD430" i="8"/>
  <c r="DC430" i="8"/>
  <c r="DB430" i="8"/>
  <c r="DA430" i="8"/>
  <c r="CZ430" i="8"/>
  <c r="CY430" i="8"/>
  <c r="CX430" i="8"/>
  <c r="DE429" i="8"/>
  <c r="DD429" i="8"/>
  <c r="DC429" i="8"/>
  <c r="DB429" i="8"/>
  <c r="DA429" i="8"/>
  <c r="CZ429" i="8"/>
  <c r="CY429" i="8"/>
  <c r="CX429" i="8"/>
  <c r="DE428" i="8"/>
  <c r="DD428" i="8"/>
  <c r="DC428" i="8"/>
  <c r="DB428" i="8"/>
  <c r="DA428" i="8"/>
  <c r="CZ428" i="8"/>
  <c r="CY428" i="8"/>
  <c r="CX428" i="8"/>
  <c r="DE427" i="8"/>
  <c r="DD427" i="8"/>
  <c r="DC427" i="8"/>
  <c r="DB427" i="8"/>
  <c r="DA427" i="8"/>
  <c r="CZ427" i="8"/>
  <c r="CY427" i="8"/>
  <c r="CX427" i="8"/>
  <c r="DE426" i="8"/>
  <c r="DD426" i="8"/>
  <c r="DC426" i="8"/>
  <c r="DB426" i="8"/>
  <c r="DA426" i="8"/>
  <c r="CZ426" i="8"/>
  <c r="CY426" i="8"/>
  <c r="CX426" i="8"/>
  <c r="DE425" i="8"/>
  <c r="DD425" i="8"/>
  <c r="DC425" i="8"/>
  <c r="DB425" i="8"/>
  <c r="DA425" i="8"/>
  <c r="CZ425" i="8"/>
  <c r="CY425" i="8"/>
  <c r="CX425" i="8"/>
  <c r="DE424" i="8"/>
  <c r="DD424" i="8"/>
  <c r="DC424" i="8"/>
  <c r="DB424" i="8"/>
  <c r="DA424" i="8"/>
  <c r="CZ424" i="8"/>
  <c r="CY424" i="8"/>
  <c r="CX424" i="8"/>
  <c r="DE423" i="8"/>
  <c r="DD423" i="8"/>
  <c r="DC423" i="8"/>
  <c r="DB423" i="8"/>
  <c r="DA423" i="8"/>
  <c r="CZ423" i="8"/>
  <c r="CY423" i="8"/>
  <c r="CX423" i="8"/>
  <c r="DE422" i="8"/>
  <c r="DD422" i="8"/>
  <c r="DC422" i="8"/>
  <c r="DB422" i="8"/>
  <c r="DA422" i="8"/>
  <c r="CZ422" i="8"/>
  <c r="CY422" i="8"/>
  <c r="CX422" i="8"/>
  <c r="DE421" i="8"/>
  <c r="DD421" i="8"/>
  <c r="DC421" i="8"/>
  <c r="DB421" i="8"/>
  <c r="DA421" i="8"/>
  <c r="CZ421" i="8"/>
  <c r="CY421" i="8"/>
  <c r="CX421" i="8"/>
  <c r="DE420" i="8"/>
  <c r="DD420" i="8"/>
  <c r="DC420" i="8"/>
  <c r="DB420" i="8"/>
  <c r="DA420" i="8"/>
  <c r="CZ420" i="8"/>
  <c r="CY420" i="8"/>
  <c r="CX420" i="8"/>
  <c r="DE419" i="8"/>
  <c r="DD419" i="8"/>
  <c r="DC419" i="8"/>
  <c r="DB419" i="8"/>
  <c r="DA419" i="8"/>
  <c r="CZ419" i="8"/>
  <c r="CY419" i="8"/>
  <c r="CX419" i="8"/>
  <c r="DE418" i="8"/>
  <c r="DD418" i="8"/>
  <c r="DC418" i="8"/>
  <c r="DB418" i="8"/>
  <c r="DA418" i="8"/>
  <c r="CZ418" i="8"/>
  <c r="CY418" i="8"/>
  <c r="CX418" i="8"/>
  <c r="DE417" i="8"/>
  <c r="DD417" i="8"/>
  <c r="DC417" i="8"/>
  <c r="DB417" i="8"/>
  <c r="DA417" i="8"/>
  <c r="CZ417" i="8"/>
  <c r="CY417" i="8"/>
  <c r="CX417" i="8"/>
  <c r="DE416" i="8"/>
  <c r="DD416" i="8"/>
  <c r="DC416" i="8"/>
  <c r="DB416" i="8"/>
  <c r="DA416" i="8"/>
  <c r="CZ416" i="8"/>
  <c r="CY416" i="8"/>
  <c r="CX416" i="8"/>
  <c r="DE415" i="8"/>
  <c r="DD415" i="8"/>
  <c r="DC415" i="8"/>
  <c r="DB415" i="8"/>
  <c r="DA415" i="8"/>
  <c r="CZ415" i="8"/>
  <c r="CY415" i="8"/>
  <c r="CX415" i="8"/>
  <c r="DE414" i="8"/>
  <c r="DD414" i="8"/>
  <c r="DC414" i="8"/>
  <c r="DB414" i="8"/>
  <c r="DA414" i="8"/>
  <c r="CZ414" i="8"/>
  <c r="CY414" i="8"/>
  <c r="CX414" i="8"/>
  <c r="DE413" i="8"/>
  <c r="DD413" i="8"/>
  <c r="DC413" i="8"/>
  <c r="DB413" i="8"/>
  <c r="DA413" i="8"/>
  <c r="CZ413" i="8"/>
  <c r="CY413" i="8"/>
  <c r="CX413" i="8"/>
  <c r="DE412" i="8"/>
  <c r="DD412" i="8"/>
  <c r="DC412" i="8"/>
  <c r="DB412" i="8"/>
  <c r="DA412" i="8"/>
  <c r="CZ412" i="8"/>
  <c r="CY412" i="8"/>
  <c r="CX412" i="8"/>
  <c r="DE411" i="8"/>
  <c r="DD411" i="8"/>
  <c r="DC411" i="8"/>
  <c r="DB411" i="8"/>
  <c r="DA411" i="8"/>
  <c r="CZ411" i="8"/>
  <c r="CY411" i="8"/>
  <c r="CX411" i="8"/>
  <c r="DE410" i="8"/>
  <c r="DD410" i="8"/>
  <c r="DC410" i="8"/>
  <c r="DB410" i="8"/>
  <c r="DA410" i="8"/>
  <c r="CZ410" i="8"/>
  <c r="CY410" i="8"/>
  <c r="CX410" i="8"/>
  <c r="DE409" i="8"/>
  <c r="DD409" i="8"/>
  <c r="DC409" i="8"/>
  <c r="DB409" i="8"/>
  <c r="DA409" i="8"/>
  <c r="CZ409" i="8"/>
  <c r="CY409" i="8"/>
  <c r="CX409" i="8"/>
  <c r="DE408" i="8"/>
  <c r="DD408" i="8"/>
  <c r="DC408" i="8"/>
  <c r="DB408" i="8"/>
  <c r="DA408" i="8"/>
  <c r="CZ408" i="8"/>
  <c r="CY408" i="8"/>
  <c r="CX408" i="8"/>
  <c r="DE407" i="8"/>
  <c r="DD407" i="8"/>
  <c r="DC407" i="8"/>
  <c r="DB407" i="8"/>
  <c r="DA407" i="8"/>
  <c r="CZ407" i="8"/>
  <c r="CY407" i="8"/>
  <c r="CX407" i="8"/>
  <c r="DE406" i="8"/>
  <c r="DD406" i="8"/>
  <c r="DC406" i="8"/>
  <c r="DB406" i="8"/>
  <c r="DA406" i="8"/>
  <c r="CZ406" i="8"/>
  <c r="CY406" i="8"/>
  <c r="CX406" i="8"/>
  <c r="DE405" i="8"/>
  <c r="DD405" i="8"/>
  <c r="DC405" i="8"/>
  <c r="DB405" i="8"/>
  <c r="DA405" i="8"/>
  <c r="CZ405" i="8"/>
  <c r="CY405" i="8"/>
  <c r="CX405" i="8"/>
  <c r="DE404" i="8"/>
  <c r="DD404" i="8"/>
  <c r="DC404" i="8"/>
  <c r="DB404" i="8"/>
  <c r="DA404" i="8"/>
  <c r="CZ404" i="8"/>
  <c r="CY404" i="8"/>
  <c r="CX404" i="8"/>
  <c r="DE403" i="8"/>
  <c r="DD403" i="8"/>
  <c r="DC403" i="8"/>
  <c r="DB403" i="8"/>
  <c r="DA403" i="8"/>
  <c r="CZ403" i="8"/>
  <c r="CY403" i="8"/>
  <c r="CX403" i="8"/>
  <c r="DE402" i="8"/>
  <c r="DD402" i="8"/>
  <c r="DC402" i="8"/>
  <c r="DB402" i="8"/>
  <c r="DA402" i="8"/>
  <c r="CZ402" i="8"/>
  <c r="CY402" i="8"/>
  <c r="CX402" i="8"/>
  <c r="DE401" i="8"/>
  <c r="DD401" i="8"/>
  <c r="DC401" i="8"/>
  <c r="DB401" i="8"/>
  <c r="DA401" i="8"/>
  <c r="CZ401" i="8"/>
  <c r="CY401" i="8"/>
  <c r="CX401" i="8"/>
  <c r="DE400" i="8"/>
  <c r="DD400" i="8"/>
  <c r="DC400" i="8"/>
  <c r="DB400" i="8"/>
  <c r="DA400" i="8"/>
  <c r="CZ400" i="8"/>
  <c r="CY400" i="8"/>
  <c r="CX400" i="8"/>
  <c r="DE399" i="8"/>
  <c r="DD399" i="8"/>
  <c r="DC399" i="8"/>
  <c r="DB399" i="8"/>
  <c r="DA399" i="8"/>
  <c r="CZ399" i="8"/>
  <c r="CY399" i="8"/>
  <c r="CX399" i="8"/>
  <c r="DE398" i="8"/>
  <c r="DD398" i="8"/>
  <c r="DC398" i="8"/>
  <c r="DB398" i="8"/>
  <c r="DA398" i="8"/>
  <c r="CZ398" i="8"/>
  <c r="CY398" i="8"/>
  <c r="CX398" i="8"/>
  <c r="DE397" i="8"/>
  <c r="DD397" i="8"/>
  <c r="DC397" i="8"/>
  <c r="DB397" i="8"/>
  <c r="DA397" i="8"/>
  <c r="CZ397" i="8"/>
  <c r="CY397" i="8"/>
  <c r="CX397" i="8"/>
  <c r="DE396" i="8"/>
  <c r="DD396" i="8"/>
  <c r="DC396" i="8"/>
  <c r="DB396" i="8"/>
  <c r="DA396" i="8"/>
  <c r="CZ396" i="8"/>
  <c r="CY396" i="8"/>
  <c r="CX396" i="8"/>
  <c r="DE395" i="8"/>
  <c r="DD395" i="8"/>
  <c r="DC395" i="8"/>
  <c r="DB395" i="8"/>
  <c r="DA395" i="8"/>
  <c r="CZ395" i="8"/>
  <c r="CY395" i="8"/>
  <c r="CX395" i="8"/>
  <c r="DE394" i="8"/>
  <c r="DD394" i="8"/>
  <c r="DC394" i="8"/>
  <c r="DB394" i="8"/>
  <c r="DA394" i="8"/>
  <c r="CZ394" i="8"/>
  <c r="CY394" i="8"/>
  <c r="CX394" i="8"/>
  <c r="DE393" i="8"/>
  <c r="DD393" i="8"/>
  <c r="DC393" i="8"/>
  <c r="DB393" i="8"/>
  <c r="DA393" i="8"/>
  <c r="CZ393" i="8"/>
  <c r="CY393" i="8"/>
  <c r="CX393" i="8"/>
  <c r="DE392" i="8"/>
  <c r="DD392" i="8"/>
  <c r="DC392" i="8"/>
  <c r="DB392" i="8"/>
  <c r="DA392" i="8"/>
  <c r="CZ392" i="8"/>
  <c r="CY392" i="8"/>
  <c r="CX392" i="8"/>
  <c r="DE391" i="8"/>
  <c r="DD391" i="8"/>
  <c r="DC391" i="8"/>
  <c r="DB391" i="8"/>
  <c r="DA391" i="8"/>
  <c r="CZ391" i="8"/>
  <c r="CY391" i="8"/>
  <c r="CX391" i="8"/>
  <c r="DE390" i="8"/>
  <c r="DD390" i="8"/>
  <c r="DC390" i="8"/>
  <c r="DB390" i="8"/>
  <c r="DA390" i="8"/>
  <c r="CZ390" i="8"/>
  <c r="CY390" i="8"/>
  <c r="CX390" i="8"/>
  <c r="DE389" i="8"/>
  <c r="DD389" i="8"/>
  <c r="DC389" i="8"/>
  <c r="DB389" i="8"/>
  <c r="DA389" i="8"/>
  <c r="CZ389" i="8"/>
  <c r="CY389" i="8"/>
  <c r="CX389" i="8"/>
  <c r="DE388" i="8"/>
  <c r="DD388" i="8"/>
  <c r="DC388" i="8"/>
  <c r="DB388" i="8"/>
  <c r="DA388" i="8"/>
  <c r="CZ388" i="8"/>
  <c r="CY388" i="8"/>
  <c r="CX388" i="8"/>
  <c r="DE387" i="8"/>
  <c r="DD387" i="8"/>
  <c r="DC387" i="8"/>
  <c r="DB387" i="8"/>
  <c r="DA387" i="8"/>
  <c r="CZ387" i="8"/>
  <c r="CY387" i="8"/>
  <c r="CX387" i="8"/>
  <c r="DE386" i="8"/>
  <c r="DD386" i="8"/>
  <c r="DC386" i="8"/>
  <c r="DB386" i="8"/>
  <c r="DA386" i="8"/>
  <c r="CZ386" i="8"/>
  <c r="CY386" i="8"/>
  <c r="CX386" i="8"/>
  <c r="DE385" i="8"/>
  <c r="DD385" i="8"/>
  <c r="DC385" i="8"/>
  <c r="DB385" i="8"/>
  <c r="DA385" i="8"/>
  <c r="CZ385" i="8"/>
  <c r="CY385" i="8"/>
  <c r="CX385" i="8"/>
  <c r="DE384" i="8"/>
  <c r="DD384" i="8"/>
  <c r="DC384" i="8"/>
  <c r="DB384" i="8"/>
  <c r="DA384" i="8"/>
  <c r="CZ384" i="8"/>
  <c r="CY384" i="8"/>
  <c r="CX384" i="8"/>
  <c r="DE383" i="8"/>
  <c r="DD383" i="8"/>
  <c r="DC383" i="8"/>
  <c r="DB383" i="8"/>
  <c r="DA383" i="8"/>
  <c r="CZ383" i="8"/>
  <c r="CY383" i="8"/>
  <c r="CX383" i="8"/>
  <c r="DE382" i="8"/>
  <c r="DD382" i="8"/>
  <c r="DC382" i="8"/>
  <c r="DB382" i="8"/>
  <c r="DA382" i="8"/>
  <c r="CZ382" i="8"/>
  <c r="CY382" i="8"/>
  <c r="CX382" i="8"/>
  <c r="DE381" i="8"/>
  <c r="DD381" i="8"/>
  <c r="DC381" i="8"/>
  <c r="DB381" i="8"/>
  <c r="DA381" i="8"/>
  <c r="CZ381" i="8"/>
  <c r="CY381" i="8"/>
  <c r="CX381" i="8"/>
  <c r="DE380" i="8"/>
  <c r="DD380" i="8"/>
  <c r="DC380" i="8"/>
  <c r="DB380" i="8"/>
  <c r="DA380" i="8"/>
  <c r="CZ380" i="8"/>
  <c r="CY380" i="8"/>
  <c r="CX380" i="8"/>
  <c r="DE379" i="8"/>
  <c r="DD379" i="8"/>
  <c r="DC379" i="8"/>
  <c r="DB379" i="8"/>
  <c r="DA379" i="8"/>
  <c r="CZ379" i="8"/>
  <c r="CY379" i="8"/>
  <c r="CX379" i="8"/>
  <c r="DE378" i="8"/>
  <c r="DD378" i="8"/>
  <c r="DC378" i="8"/>
  <c r="DB378" i="8"/>
  <c r="DA378" i="8"/>
  <c r="CZ378" i="8"/>
  <c r="CY378" i="8"/>
  <c r="CX378" i="8"/>
  <c r="DE377" i="8"/>
  <c r="DD377" i="8"/>
  <c r="DC377" i="8"/>
  <c r="DB377" i="8"/>
  <c r="DA377" i="8"/>
  <c r="CZ377" i="8"/>
  <c r="CY377" i="8"/>
  <c r="CX377" i="8"/>
  <c r="DE376" i="8"/>
  <c r="DD376" i="8"/>
  <c r="DC376" i="8"/>
  <c r="DB376" i="8"/>
  <c r="DA376" i="8"/>
  <c r="CZ376" i="8"/>
  <c r="CY376" i="8"/>
  <c r="CX376" i="8"/>
  <c r="DE375" i="8"/>
  <c r="DD375" i="8"/>
  <c r="DC375" i="8"/>
  <c r="DB375" i="8"/>
  <c r="DA375" i="8"/>
  <c r="CZ375" i="8"/>
  <c r="CY375" i="8"/>
  <c r="CX375" i="8"/>
  <c r="DE374" i="8"/>
  <c r="DD374" i="8"/>
  <c r="DC374" i="8"/>
  <c r="DB374" i="8"/>
  <c r="DA374" i="8"/>
  <c r="CZ374" i="8"/>
  <c r="CY374" i="8"/>
  <c r="CX374" i="8"/>
  <c r="DE373" i="8"/>
  <c r="DD373" i="8"/>
  <c r="DC373" i="8"/>
  <c r="DB373" i="8"/>
  <c r="DA373" i="8"/>
  <c r="CZ373" i="8"/>
  <c r="CY373" i="8"/>
  <c r="CX373" i="8"/>
  <c r="DE372" i="8"/>
  <c r="DD372" i="8"/>
  <c r="DC372" i="8"/>
  <c r="DB372" i="8"/>
  <c r="DA372" i="8"/>
  <c r="CZ372" i="8"/>
  <c r="CY372" i="8"/>
  <c r="CX372" i="8"/>
  <c r="DE371" i="8"/>
  <c r="DD371" i="8"/>
  <c r="DC371" i="8"/>
  <c r="DB371" i="8"/>
  <c r="DA371" i="8"/>
  <c r="CZ371" i="8"/>
  <c r="CY371" i="8"/>
  <c r="CX371" i="8"/>
  <c r="DE370" i="8"/>
  <c r="DD370" i="8"/>
  <c r="DC370" i="8"/>
  <c r="DB370" i="8"/>
  <c r="DA370" i="8"/>
  <c r="CZ370" i="8"/>
  <c r="CY370" i="8"/>
  <c r="CX370" i="8"/>
  <c r="DE369" i="8"/>
  <c r="DD369" i="8"/>
  <c r="DC369" i="8"/>
  <c r="DB369" i="8"/>
  <c r="DA369" i="8"/>
  <c r="CZ369" i="8"/>
  <c r="CY369" i="8"/>
  <c r="CX369" i="8"/>
  <c r="DE368" i="8"/>
  <c r="DD368" i="8"/>
  <c r="DC368" i="8"/>
  <c r="DB368" i="8"/>
  <c r="DA368" i="8"/>
  <c r="CZ368" i="8"/>
  <c r="CY368" i="8"/>
  <c r="CX368" i="8"/>
  <c r="DE367" i="8"/>
  <c r="DD367" i="8"/>
  <c r="DC367" i="8"/>
  <c r="DB367" i="8"/>
  <c r="DA367" i="8"/>
  <c r="CZ367" i="8"/>
  <c r="CY367" i="8"/>
  <c r="CX367" i="8"/>
  <c r="DE366" i="8"/>
  <c r="DD366" i="8"/>
  <c r="DC366" i="8"/>
  <c r="DB366" i="8"/>
  <c r="DA366" i="8"/>
  <c r="CZ366" i="8"/>
  <c r="CY366" i="8"/>
  <c r="CX366" i="8"/>
  <c r="DE365" i="8"/>
  <c r="DD365" i="8"/>
  <c r="DC365" i="8"/>
  <c r="DB365" i="8"/>
  <c r="DA365" i="8"/>
  <c r="CZ365" i="8"/>
  <c r="CY365" i="8"/>
  <c r="CX365" i="8"/>
  <c r="DE364" i="8"/>
  <c r="DD364" i="8"/>
  <c r="DC364" i="8"/>
  <c r="DB364" i="8"/>
  <c r="DA364" i="8"/>
  <c r="CZ364" i="8"/>
  <c r="CY364" i="8"/>
  <c r="CX364" i="8"/>
  <c r="DE363" i="8"/>
  <c r="DD363" i="8"/>
  <c r="DC363" i="8"/>
  <c r="DB363" i="8"/>
  <c r="DA363" i="8"/>
  <c r="CZ363" i="8"/>
  <c r="CY363" i="8"/>
  <c r="CX363" i="8"/>
  <c r="DE362" i="8"/>
  <c r="DD362" i="8"/>
  <c r="DC362" i="8"/>
  <c r="DB362" i="8"/>
  <c r="DA362" i="8"/>
  <c r="CZ362" i="8"/>
  <c r="CY362" i="8"/>
  <c r="CX362" i="8"/>
  <c r="DE361" i="8"/>
  <c r="DD361" i="8"/>
  <c r="DC361" i="8"/>
  <c r="DB361" i="8"/>
  <c r="DA361" i="8"/>
  <c r="CZ361" i="8"/>
  <c r="CY361" i="8"/>
  <c r="CX361" i="8"/>
  <c r="DE360" i="8"/>
  <c r="DD360" i="8"/>
  <c r="DC360" i="8"/>
  <c r="DB360" i="8"/>
  <c r="DA360" i="8"/>
  <c r="CZ360" i="8"/>
  <c r="CY360" i="8"/>
  <c r="CX360" i="8"/>
  <c r="DE359" i="8"/>
  <c r="DD359" i="8"/>
  <c r="DC359" i="8"/>
  <c r="DB359" i="8"/>
  <c r="DA359" i="8"/>
  <c r="CZ359" i="8"/>
  <c r="CY359" i="8"/>
  <c r="CX359" i="8"/>
  <c r="DE358" i="8"/>
  <c r="DD358" i="8"/>
  <c r="DC358" i="8"/>
  <c r="DB358" i="8"/>
  <c r="DA358" i="8"/>
  <c r="CZ358" i="8"/>
  <c r="CY358" i="8"/>
  <c r="CX358" i="8"/>
  <c r="DE357" i="8"/>
  <c r="DD357" i="8"/>
  <c r="DC357" i="8"/>
  <c r="DB357" i="8"/>
  <c r="DA357" i="8"/>
  <c r="CZ357" i="8"/>
  <c r="CY357" i="8"/>
  <c r="CX357" i="8"/>
  <c r="DE356" i="8"/>
  <c r="DD356" i="8"/>
  <c r="DC356" i="8"/>
  <c r="DB356" i="8"/>
  <c r="DA356" i="8"/>
  <c r="CZ356" i="8"/>
  <c r="CY356" i="8"/>
  <c r="CX356" i="8"/>
  <c r="DE355" i="8"/>
  <c r="DD355" i="8"/>
  <c r="DC355" i="8"/>
  <c r="DB355" i="8"/>
  <c r="DA355" i="8"/>
  <c r="CZ355" i="8"/>
  <c r="CY355" i="8"/>
  <c r="CX355" i="8"/>
  <c r="DE354" i="8"/>
  <c r="DD354" i="8"/>
  <c r="DC354" i="8"/>
  <c r="DB354" i="8"/>
  <c r="DA354" i="8"/>
  <c r="CZ354" i="8"/>
  <c r="CY354" i="8"/>
  <c r="CX354" i="8"/>
  <c r="DE353" i="8"/>
  <c r="DD353" i="8"/>
  <c r="DC353" i="8"/>
  <c r="DB353" i="8"/>
  <c r="DA353" i="8"/>
  <c r="CZ353" i="8"/>
  <c r="CY353" i="8"/>
  <c r="CX353" i="8"/>
  <c r="DE352" i="8"/>
  <c r="DD352" i="8"/>
  <c r="DC352" i="8"/>
  <c r="DB352" i="8"/>
  <c r="DA352" i="8"/>
  <c r="CZ352" i="8"/>
  <c r="CY352" i="8"/>
  <c r="CX352" i="8"/>
  <c r="DE351" i="8"/>
  <c r="DD351" i="8"/>
  <c r="DC351" i="8"/>
  <c r="DB351" i="8"/>
  <c r="DA351" i="8"/>
  <c r="CZ351" i="8"/>
  <c r="CY351" i="8"/>
  <c r="CX351" i="8"/>
  <c r="DE350" i="8"/>
  <c r="DD350" i="8"/>
  <c r="DC350" i="8"/>
  <c r="DB350" i="8"/>
  <c r="DA350" i="8"/>
  <c r="CZ350" i="8"/>
  <c r="CY350" i="8"/>
  <c r="CX350" i="8"/>
  <c r="DE349" i="8"/>
  <c r="DD349" i="8"/>
  <c r="DC349" i="8"/>
  <c r="DB349" i="8"/>
  <c r="DA349" i="8"/>
  <c r="CZ349" i="8"/>
  <c r="CY349" i="8"/>
  <c r="CX349" i="8"/>
  <c r="DE348" i="8"/>
  <c r="DD348" i="8"/>
  <c r="DC348" i="8"/>
  <c r="DB348" i="8"/>
  <c r="DA348" i="8"/>
  <c r="CZ348" i="8"/>
  <c r="CY348" i="8"/>
  <c r="CX348" i="8"/>
  <c r="DE347" i="8"/>
  <c r="DD347" i="8"/>
  <c r="DC347" i="8"/>
  <c r="DB347" i="8"/>
  <c r="DA347" i="8"/>
  <c r="CZ347" i="8"/>
  <c r="CY347" i="8"/>
  <c r="CX347" i="8"/>
  <c r="DE346" i="8"/>
  <c r="DD346" i="8"/>
  <c r="DC346" i="8"/>
  <c r="DB346" i="8"/>
  <c r="DA346" i="8"/>
  <c r="CZ346" i="8"/>
  <c r="CY346" i="8"/>
  <c r="CX346" i="8"/>
  <c r="DE345" i="8"/>
  <c r="DD345" i="8"/>
  <c r="DC345" i="8"/>
  <c r="DB345" i="8"/>
  <c r="DA345" i="8"/>
  <c r="CZ345" i="8"/>
  <c r="CY345" i="8"/>
  <c r="CX345" i="8"/>
  <c r="DE344" i="8"/>
  <c r="DD344" i="8"/>
  <c r="DC344" i="8"/>
  <c r="DB344" i="8"/>
  <c r="DA344" i="8"/>
  <c r="CZ344" i="8"/>
  <c r="CY344" i="8"/>
  <c r="CX344" i="8"/>
  <c r="DE343" i="8"/>
  <c r="DD343" i="8"/>
  <c r="DC343" i="8"/>
  <c r="DB343" i="8"/>
  <c r="DA343" i="8"/>
  <c r="CZ343" i="8"/>
  <c r="CY343" i="8"/>
  <c r="CX343" i="8"/>
  <c r="DE342" i="8"/>
  <c r="DD342" i="8"/>
  <c r="DC342" i="8"/>
  <c r="DB342" i="8"/>
  <c r="DA342" i="8"/>
  <c r="CZ342" i="8"/>
  <c r="CY342" i="8"/>
  <c r="CX342" i="8"/>
  <c r="DE341" i="8"/>
  <c r="DD341" i="8"/>
  <c r="DC341" i="8"/>
  <c r="DB341" i="8"/>
  <c r="DA341" i="8"/>
  <c r="CZ341" i="8"/>
  <c r="CY341" i="8"/>
  <c r="CX341" i="8"/>
  <c r="DE340" i="8"/>
  <c r="DD340" i="8"/>
  <c r="DC340" i="8"/>
  <c r="DB340" i="8"/>
  <c r="DA340" i="8"/>
  <c r="CZ340" i="8"/>
  <c r="CY340" i="8"/>
  <c r="CX340" i="8"/>
  <c r="DE339" i="8"/>
  <c r="DD339" i="8"/>
  <c r="DC339" i="8"/>
  <c r="DB339" i="8"/>
  <c r="DA339" i="8"/>
  <c r="CZ339" i="8"/>
  <c r="CY339" i="8"/>
  <c r="CX339" i="8"/>
  <c r="DE338" i="8"/>
  <c r="DD338" i="8"/>
  <c r="DC338" i="8"/>
  <c r="DB338" i="8"/>
  <c r="DA338" i="8"/>
  <c r="CZ338" i="8"/>
  <c r="CY338" i="8"/>
  <c r="CX338" i="8"/>
  <c r="DE337" i="8"/>
  <c r="DD337" i="8"/>
  <c r="DC337" i="8"/>
  <c r="DB337" i="8"/>
  <c r="DA337" i="8"/>
  <c r="CZ337" i="8"/>
  <c r="CY337" i="8"/>
  <c r="CX337" i="8"/>
  <c r="DE336" i="8"/>
  <c r="DD336" i="8"/>
  <c r="DC336" i="8"/>
  <c r="DB336" i="8"/>
  <c r="DA336" i="8"/>
  <c r="CZ336" i="8"/>
  <c r="CY336" i="8"/>
  <c r="CX336" i="8"/>
  <c r="DE335" i="8"/>
  <c r="DD335" i="8"/>
  <c r="DC335" i="8"/>
  <c r="DB335" i="8"/>
  <c r="DA335" i="8"/>
  <c r="CZ335" i="8"/>
  <c r="CY335" i="8"/>
  <c r="CX335" i="8"/>
  <c r="DE334" i="8"/>
  <c r="DD334" i="8"/>
  <c r="DC334" i="8"/>
  <c r="DB334" i="8"/>
  <c r="DA334" i="8"/>
  <c r="CZ334" i="8"/>
  <c r="CY334" i="8"/>
  <c r="CX334" i="8"/>
  <c r="DE333" i="8"/>
  <c r="DD333" i="8"/>
  <c r="DC333" i="8"/>
  <c r="DB333" i="8"/>
  <c r="DA333" i="8"/>
  <c r="CZ333" i="8"/>
  <c r="CY333" i="8"/>
  <c r="CX333" i="8"/>
  <c r="DE332" i="8"/>
  <c r="DD332" i="8"/>
  <c r="DC332" i="8"/>
  <c r="DB332" i="8"/>
  <c r="DA332" i="8"/>
  <c r="CZ332" i="8"/>
  <c r="CY332" i="8"/>
  <c r="CX332" i="8"/>
  <c r="DE331" i="8"/>
  <c r="DD331" i="8"/>
  <c r="DC331" i="8"/>
  <c r="DB331" i="8"/>
  <c r="DA331" i="8"/>
  <c r="CZ331" i="8"/>
  <c r="CY331" i="8"/>
  <c r="CX331" i="8"/>
  <c r="DE330" i="8"/>
  <c r="DD330" i="8"/>
  <c r="DC330" i="8"/>
  <c r="DB330" i="8"/>
  <c r="DA330" i="8"/>
  <c r="CZ330" i="8"/>
  <c r="CY330" i="8"/>
  <c r="CX330" i="8"/>
  <c r="DE329" i="8"/>
  <c r="DD329" i="8"/>
  <c r="DC329" i="8"/>
  <c r="DB329" i="8"/>
  <c r="DA329" i="8"/>
  <c r="CZ329" i="8"/>
  <c r="CY329" i="8"/>
  <c r="CX329" i="8"/>
  <c r="DE328" i="8"/>
  <c r="DD328" i="8"/>
  <c r="DC328" i="8"/>
  <c r="DB328" i="8"/>
  <c r="DA328" i="8"/>
  <c r="CZ328" i="8"/>
  <c r="CY328" i="8"/>
  <c r="CX328" i="8"/>
  <c r="DE327" i="8"/>
  <c r="DD327" i="8"/>
  <c r="DC327" i="8"/>
  <c r="DB327" i="8"/>
  <c r="DA327" i="8"/>
  <c r="CZ327" i="8"/>
  <c r="CY327" i="8"/>
  <c r="CX327" i="8"/>
  <c r="DE326" i="8"/>
  <c r="DD326" i="8"/>
  <c r="DC326" i="8"/>
  <c r="DB326" i="8"/>
  <c r="DA326" i="8"/>
  <c r="CZ326" i="8"/>
  <c r="CY326" i="8"/>
  <c r="CX326" i="8"/>
  <c r="DE325" i="8"/>
  <c r="DD325" i="8"/>
  <c r="DC325" i="8"/>
  <c r="DB325" i="8"/>
  <c r="DA325" i="8"/>
  <c r="CZ325" i="8"/>
  <c r="CY325" i="8"/>
  <c r="CX325" i="8"/>
  <c r="DE324" i="8"/>
  <c r="DD324" i="8"/>
  <c r="DC324" i="8"/>
  <c r="DB324" i="8"/>
  <c r="DA324" i="8"/>
  <c r="CZ324" i="8"/>
  <c r="CY324" i="8"/>
  <c r="CX324" i="8"/>
  <c r="DE323" i="8"/>
  <c r="DD323" i="8"/>
  <c r="DC323" i="8"/>
  <c r="DB323" i="8"/>
  <c r="DA323" i="8"/>
  <c r="CZ323" i="8"/>
  <c r="CY323" i="8"/>
  <c r="CX323" i="8"/>
  <c r="DE322" i="8"/>
  <c r="DD322" i="8"/>
  <c r="DC322" i="8"/>
  <c r="DB322" i="8"/>
  <c r="DA322" i="8"/>
  <c r="CZ322" i="8"/>
  <c r="CY322" i="8"/>
  <c r="CX322" i="8"/>
  <c r="DE321" i="8"/>
  <c r="DD321" i="8"/>
  <c r="DC321" i="8"/>
  <c r="DB321" i="8"/>
  <c r="DA321" i="8"/>
  <c r="CZ321" i="8"/>
  <c r="CY321" i="8"/>
  <c r="CX321" i="8"/>
  <c r="DE320" i="8"/>
  <c r="DD320" i="8"/>
  <c r="DC320" i="8"/>
  <c r="DB320" i="8"/>
  <c r="DA320" i="8"/>
  <c r="CZ320" i="8"/>
  <c r="CY320" i="8"/>
  <c r="CX320" i="8"/>
  <c r="DE319" i="8"/>
  <c r="DD319" i="8"/>
  <c r="DC319" i="8"/>
  <c r="DB319" i="8"/>
  <c r="DA319" i="8"/>
  <c r="CZ319" i="8"/>
  <c r="CY319" i="8"/>
  <c r="CX319" i="8"/>
  <c r="DE318" i="8"/>
  <c r="DD318" i="8"/>
  <c r="DC318" i="8"/>
  <c r="DB318" i="8"/>
  <c r="DA318" i="8"/>
  <c r="CZ318" i="8"/>
  <c r="CY318" i="8"/>
  <c r="CX318" i="8"/>
  <c r="DE317" i="8"/>
  <c r="DD317" i="8"/>
  <c r="DC317" i="8"/>
  <c r="DB317" i="8"/>
  <c r="DA317" i="8"/>
  <c r="CZ317" i="8"/>
  <c r="CY317" i="8"/>
  <c r="CX317" i="8"/>
  <c r="DE316" i="8"/>
  <c r="DD316" i="8"/>
  <c r="DC316" i="8"/>
  <c r="DB316" i="8"/>
  <c r="DA316" i="8"/>
  <c r="CZ316" i="8"/>
  <c r="CY316" i="8"/>
  <c r="CX316" i="8"/>
  <c r="DE315" i="8"/>
  <c r="DD315" i="8"/>
  <c r="DC315" i="8"/>
  <c r="DB315" i="8"/>
  <c r="DA315" i="8"/>
  <c r="CZ315" i="8"/>
  <c r="CY315" i="8"/>
  <c r="CX315" i="8"/>
  <c r="DE314" i="8"/>
  <c r="DD314" i="8"/>
  <c r="DC314" i="8"/>
  <c r="DB314" i="8"/>
  <c r="DA314" i="8"/>
  <c r="CZ314" i="8"/>
  <c r="CY314" i="8"/>
  <c r="CX314" i="8"/>
  <c r="DE313" i="8"/>
  <c r="DD313" i="8"/>
  <c r="DC313" i="8"/>
  <c r="DB313" i="8"/>
  <c r="DA313" i="8"/>
  <c r="CZ313" i="8"/>
  <c r="CY313" i="8"/>
  <c r="CX313" i="8"/>
  <c r="DE312" i="8"/>
  <c r="DD312" i="8"/>
  <c r="DC312" i="8"/>
  <c r="DB312" i="8"/>
  <c r="DA312" i="8"/>
  <c r="CZ312" i="8"/>
  <c r="CY312" i="8"/>
  <c r="CX312" i="8"/>
  <c r="DE311" i="8"/>
  <c r="DD311" i="8"/>
  <c r="DC311" i="8"/>
  <c r="DB311" i="8"/>
  <c r="DA311" i="8"/>
  <c r="CZ311" i="8"/>
  <c r="CY311" i="8"/>
  <c r="CX311" i="8"/>
  <c r="DE310" i="8"/>
  <c r="DD310" i="8"/>
  <c r="DC310" i="8"/>
  <c r="DB310" i="8"/>
  <c r="DA310" i="8"/>
  <c r="CZ310" i="8"/>
  <c r="CY310" i="8"/>
  <c r="CX310" i="8"/>
  <c r="DE309" i="8"/>
  <c r="DD309" i="8"/>
  <c r="DC309" i="8"/>
  <c r="DB309" i="8"/>
  <c r="DA309" i="8"/>
  <c r="CZ309" i="8"/>
  <c r="CY309" i="8"/>
  <c r="CX309" i="8"/>
  <c r="DE308" i="8"/>
  <c r="DD308" i="8"/>
  <c r="DC308" i="8"/>
  <c r="DB308" i="8"/>
  <c r="DA308" i="8"/>
  <c r="CZ308" i="8"/>
  <c r="CY308" i="8"/>
  <c r="CX308" i="8"/>
  <c r="DE307" i="8"/>
  <c r="DD307" i="8"/>
  <c r="DC307" i="8"/>
  <c r="DB307" i="8"/>
  <c r="DA307" i="8"/>
  <c r="CZ307" i="8"/>
  <c r="CY307" i="8"/>
  <c r="CX307" i="8"/>
  <c r="DE306" i="8"/>
  <c r="DD306" i="8"/>
  <c r="DC306" i="8"/>
  <c r="DB306" i="8"/>
  <c r="DA306" i="8"/>
  <c r="CZ306" i="8"/>
  <c r="CY306" i="8"/>
  <c r="CX306" i="8"/>
  <c r="DE305" i="8"/>
  <c r="DD305" i="8"/>
  <c r="DC305" i="8"/>
  <c r="DB305" i="8"/>
  <c r="DA305" i="8"/>
  <c r="CZ305" i="8"/>
  <c r="CY305" i="8"/>
  <c r="CX305" i="8"/>
  <c r="DE304" i="8"/>
  <c r="DD304" i="8"/>
  <c r="DC304" i="8"/>
  <c r="DB304" i="8"/>
  <c r="DA304" i="8"/>
  <c r="CZ304" i="8"/>
  <c r="CY304" i="8"/>
  <c r="CX304" i="8"/>
  <c r="DE303" i="8"/>
  <c r="DD303" i="8"/>
  <c r="DC303" i="8"/>
  <c r="DB303" i="8"/>
  <c r="DA303" i="8"/>
  <c r="CZ303" i="8"/>
  <c r="CY303" i="8"/>
  <c r="CX303" i="8"/>
  <c r="DE302" i="8"/>
  <c r="DD302" i="8"/>
  <c r="DC302" i="8"/>
  <c r="DB302" i="8"/>
  <c r="DA302" i="8"/>
  <c r="CZ302" i="8"/>
  <c r="CY302" i="8"/>
  <c r="CX302" i="8"/>
  <c r="DE301" i="8"/>
  <c r="DD301" i="8"/>
  <c r="DC301" i="8"/>
  <c r="DB301" i="8"/>
  <c r="DA301" i="8"/>
  <c r="CZ301" i="8"/>
  <c r="CY301" i="8"/>
  <c r="CX301" i="8"/>
  <c r="DE300" i="8"/>
  <c r="DD300" i="8"/>
  <c r="DC300" i="8"/>
  <c r="DB300" i="8"/>
  <c r="DA300" i="8"/>
  <c r="CZ300" i="8"/>
  <c r="CY300" i="8"/>
  <c r="CX300" i="8"/>
  <c r="DE299" i="8"/>
  <c r="DD299" i="8"/>
  <c r="DC299" i="8"/>
  <c r="DB299" i="8"/>
  <c r="DA299" i="8"/>
  <c r="CZ299" i="8"/>
  <c r="CY299" i="8"/>
  <c r="CX299" i="8"/>
  <c r="DE298" i="8"/>
  <c r="DD298" i="8"/>
  <c r="DC298" i="8"/>
  <c r="DB298" i="8"/>
  <c r="DA298" i="8"/>
  <c r="CZ298" i="8"/>
  <c r="CY298" i="8"/>
  <c r="CX298" i="8"/>
  <c r="DE297" i="8"/>
  <c r="DD297" i="8"/>
  <c r="DC297" i="8"/>
  <c r="DB297" i="8"/>
  <c r="DA297" i="8"/>
  <c r="CZ297" i="8"/>
  <c r="CY297" i="8"/>
  <c r="CX297" i="8"/>
  <c r="DE296" i="8"/>
  <c r="DD296" i="8"/>
  <c r="DC296" i="8"/>
  <c r="DB296" i="8"/>
  <c r="DA296" i="8"/>
  <c r="CZ296" i="8"/>
  <c r="CY296" i="8"/>
  <c r="CX296" i="8"/>
  <c r="DE295" i="8"/>
  <c r="DD295" i="8"/>
  <c r="DC295" i="8"/>
  <c r="DB295" i="8"/>
  <c r="DA295" i="8"/>
  <c r="CZ295" i="8"/>
  <c r="CY295" i="8"/>
  <c r="CX295" i="8"/>
  <c r="DE294" i="8"/>
  <c r="DD294" i="8"/>
  <c r="DC294" i="8"/>
  <c r="DB294" i="8"/>
  <c r="DA294" i="8"/>
  <c r="CZ294" i="8"/>
  <c r="CY294" i="8"/>
  <c r="CX294" i="8"/>
  <c r="DE293" i="8"/>
  <c r="DD293" i="8"/>
  <c r="DC293" i="8"/>
  <c r="DB293" i="8"/>
  <c r="DA293" i="8"/>
  <c r="CZ293" i="8"/>
  <c r="CY293" i="8"/>
  <c r="CX293" i="8"/>
  <c r="DE292" i="8"/>
  <c r="DD292" i="8"/>
  <c r="DC292" i="8"/>
  <c r="DB292" i="8"/>
  <c r="DA292" i="8"/>
  <c r="CZ292" i="8"/>
  <c r="CY292" i="8"/>
  <c r="CX292" i="8"/>
  <c r="DE291" i="8"/>
  <c r="DD291" i="8"/>
  <c r="DC291" i="8"/>
  <c r="DB291" i="8"/>
  <c r="DA291" i="8"/>
  <c r="CZ291" i="8"/>
  <c r="CY291" i="8"/>
  <c r="CX291" i="8"/>
  <c r="DE290" i="8"/>
  <c r="DD290" i="8"/>
  <c r="DC290" i="8"/>
  <c r="DB290" i="8"/>
  <c r="DA290" i="8"/>
  <c r="CZ290" i="8"/>
  <c r="CY290" i="8"/>
  <c r="CX290" i="8"/>
  <c r="DE289" i="8"/>
  <c r="DD289" i="8"/>
  <c r="DC289" i="8"/>
  <c r="DB289" i="8"/>
  <c r="DA289" i="8"/>
  <c r="CZ289" i="8"/>
  <c r="CY289" i="8"/>
  <c r="CX289" i="8"/>
  <c r="DE288" i="8"/>
  <c r="DD288" i="8"/>
  <c r="DC288" i="8"/>
  <c r="DB288" i="8"/>
  <c r="DA288" i="8"/>
  <c r="CZ288" i="8"/>
  <c r="CY288" i="8"/>
  <c r="CX288" i="8"/>
  <c r="DE287" i="8"/>
  <c r="DD287" i="8"/>
  <c r="DC287" i="8"/>
  <c r="DB287" i="8"/>
  <c r="DA287" i="8"/>
  <c r="CZ287" i="8"/>
  <c r="CY287" i="8"/>
  <c r="CX287" i="8"/>
  <c r="DE286" i="8"/>
  <c r="DD286" i="8"/>
  <c r="DC286" i="8"/>
  <c r="DB286" i="8"/>
  <c r="DA286" i="8"/>
  <c r="CZ286" i="8"/>
  <c r="CY286" i="8"/>
  <c r="CX286" i="8"/>
  <c r="DE285" i="8"/>
  <c r="DD285" i="8"/>
  <c r="DC285" i="8"/>
  <c r="DB285" i="8"/>
  <c r="DA285" i="8"/>
  <c r="CZ285" i="8"/>
  <c r="CY285" i="8"/>
  <c r="CX285" i="8"/>
  <c r="DE284" i="8"/>
  <c r="DD284" i="8"/>
  <c r="DC284" i="8"/>
  <c r="DB284" i="8"/>
  <c r="DA284" i="8"/>
  <c r="CZ284" i="8"/>
  <c r="CY284" i="8"/>
  <c r="CX284" i="8"/>
  <c r="DE283" i="8"/>
  <c r="DD283" i="8"/>
  <c r="DC283" i="8"/>
  <c r="DB283" i="8"/>
  <c r="DA283" i="8"/>
  <c r="CZ283" i="8"/>
  <c r="CY283" i="8"/>
  <c r="CX283" i="8"/>
  <c r="DE282" i="8"/>
  <c r="DD282" i="8"/>
  <c r="DC282" i="8"/>
  <c r="DB282" i="8"/>
  <c r="DA282" i="8"/>
  <c r="CZ282" i="8"/>
  <c r="CY282" i="8"/>
  <c r="CX282" i="8"/>
  <c r="DE281" i="8"/>
  <c r="DD281" i="8"/>
  <c r="DC281" i="8"/>
  <c r="DB281" i="8"/>
  <c r="DA281" i="8"/>
  <c r="CZ281" i="8"/>
  <c r="CY281" i="8"/>
  <c r="CX281" i="8"/>
  <c r="DE280" i="8"/>
  <c r="DD280" i="8"/>
  <c r="DC280" i="8"/>
  <c r="DB280" i="8"/>
  <c r="DA280" i="8"/>
  <c r="CZ280" i="8"/>
  <c r="CY280" i="8"/>
  <c r="CX280" i="8"/>
  <c r="DE279" i="8"/>
  <c r="DD279" i="8"/>
  <c r="DC279" i="8"/>
  <c r="DB279" i="8"/>
  <c r="DA279" i="8"/>
  <c r="CZ279" i="8"/>
  <c r="CY279" i="8"/>
  <c r="CX279" i="8"/>
  <c r="DE278" i="8"/>
  <c r="DD278" i="8"/>
  <c r="DC278" i="8"/>
  <c r="DB278" i="8"/>
  <c r="DA278" i="8"/>
  <c r="CZ278" i="8"/>
  <c r="CY278" i="8"/>
  <c r="CX278" i="8"/>
  <c r="DE277" i="8"/>
  <c r="DD277" i="8"/>
  <c r="DC277" i="8"/>
  <c r="DB277" i="8"/>
  <c r="DA277" i="8"/>
  <c r="CZ277" i="8"/>
  <c r="CY277" i="8"/>
  <c r="CX277" i="8"/>
  <c r="DE276" i="8"/>
  <c r="DD276" i="8"/>
  <c r="DC276" i="8"/>
  <c r="DB276" i="8"/>
  <c r="DA276" i="8"/>
  <c r="CZ276" i="8"/>
  <c r="CY276" i="8"/>
  <c r="CX276" i="8"/>
  <c r="DE275" i="8"/>
  <c r="DD275" i="8"/>
  <c r="DC275" i="8"/>
  <c r="DB275" i="8"/>
  <c r="DA275" i="8"/>
  <c r="CZ275" i="8"/>
  <c r="CY275" i="8"/>
  <c r="CX275" i="8"/>
  <c r="DE274" i="8"/>
  <c r="DD274" i="8"/>
  <c r="DC274" i="8"/>
  <c r="DB274" i="8"/>
  <c r="DA274" i="8"/>
  <c r="CZ274" i="8"/>
  <c r="CY274" i="8"/>
  <c r="CX274" i="8"/>
  <c r="DE273" i="8"/>
  <c r="DD273" i="8"/>
  <c r="DC273" i="8"/>
  <c r="DB273" i="8"/>
  <c r="DA273" i="8"/>
  <c r="CZ273" i="8"/>
  <c r="CY273" i="8"/>
  <c r="CX273" i="8"/>
  <c r="DE272" i="8"/>
  <c r="DD272" i="8"/>
  <c r="DC272" i="8"/>
  <c r="DB272" i="8"/>
  <c r="DA272" i="8"/>
  <c r="CZ272" i="8"/>
  <c r="CY272" i="8"/>
  <c r="CX272" i="8"/>
  <c r="DE271" i="8"/>
  <c r="DD271" i="8"/>
  <c r="DC271" i="8"/>
  <c r="DB271" i="8"/>
  <c r="DA271" i="8"/>
  <c r="CZ271" i="8"/>
  <c r="CY271" i="8"/>
  <c r="CX271" i="8"/>
  <c r="DE270" i="8"/>
  <c r="DD270" i="8"/>
  <c r="DC270" i="8"/>
  <c r="DB270" i="8"/>
  <c r="DA270" i="8"/>
  <c r="CZ270" i="8"/>
  <c r="CY270" i="8"/>
  <c r="CX270" i="8"/>
  <c r="DE269" i="8"/>
  <c r="DD269" i="8"/>
  <c r="DC269" i="8"/>
  <c r="DB269" i="8"/>
  <c r="DA269" i="8"/>
  <c r="CZ269" i="8"/>
  <c r="CY269" i="8"/>
  <c r="CX269" i="8"/>
  <c r="DE268" i="8"/>
  <c r="DD268" i="8"/>
  <c r="DC268" i="8"/>
  <c r="DB268" i="8"/>
  <c r="DA268" i="8"/>
  <c r="CZ268" i="8"/>
  <c r="CY268" i="8"/>
  <c r="CX268" i="8"/>
  <c r="DE267" i="8"/>
  <c r="DD267" i="8"/>
  <c r="DC267" i="8"/>
  <c r="DB267" i="8"/>
  <c r="DA267" i="8"/>
  <c r="CZ267" i="8"/>
  <c r="CY267" i="8"/>
  <c r="CX267" i="8"/>
  <c r="DE266" i="8"/>
  <c r="DD266" i="8"/>
  <c r="DC266" i="8"/>
  <c r="DB266" i="8"/>
  <c r="DA266" i="8"/>
  <c r="CZ266" i="8"/>
  <c r="CY266" i="8"/>
  <c r="CX266" i="8"/>
  <c r="DE265" i="8"/>
  <c r="DD265" i="8"/>
  <c r="DC265" i="8"/>
  <c r="DB265" i="8"/>
  <c r="DA265" i="8"/>
  <c r="CZ265" i="8"/>
  <c r="CY265" i="8"/>
  <c r="CX265" i="8"/>
  <c r="DE264" i="8"/>
  <c r="DD264" i="8"/>
  <c r="DC264" i="8"/>
  <c r="DB264" i="8"/>
  <c r="DA264" i="8"/>
  <c r="CZ264" i="8"/>
  <c r="CY264" i="8"/>
  <c r="CX264" i="8"/>
  <c r="DE263" i="8"/>
  <c r="DD263" i="8"/>
  <c r="DC263" i="8"/>
  <c r="DB263" i="8"/>
  <c r="DA263" i="8"/>
  <c r="CZ263" i="8"/>
  <c r="CY263" i="8"/>
  <c r="CX263" i="8"/>
  <c r="DE262" i="8"/>
  <c r="DD262" i="8"/>
  <c r="DC262" i="8"/>
  <c r="DB262" i="8"/>
  <c r="DA262" i="8"/>
  <c r="CZ262" i="8"/>
  <c r="CY262" i="8"/>
  <c r="CX262" i="8"/>
  <c r="DE261" i="8"/>
  <c r="DD261" i="8"/>
  <c r="DC261" i="8"/>
  <c r="DB261" i="8"/>
  <c r="DA261" i="8"/>
  <c r="CZ261" i="8"/>
  <c r="CY261" i="8"/>
  <c r="CX261" i="8"/>
  <c r="DE260" i="8"/>
  <c r="DD260" i="8"/>
  <c r="DC260" i="8"/>
  <c r="DB260" i="8"/>
  <c r="DA260" i="8"/>
  <c r="CZ260" i="8"/>
  <c r="CY260" i="8"/>
  <c r="CX260" i="8"/>
  <c r="DE259" i="8"/>
  <c r="DD259" i="8"/>
  <c r="DC259" i="8"/>
  <c r="DB259" i="8"/>
  <c r="DA259" i="8"/>
  <c r="CZ259" i="8"/>
  <c r="CY259" i="8"/>
  <c r="CX259" i="8"/>
  <c r="DE258" i="8"/>
  <c r="DD258" i="8"/>
  <c r="DC258" i="8"/>
  <c r="DB258" i="8"/>
  <c r="DA258" i="8"/>
  <c r="CZ258" i="8"/>
  <c r="CY258" i="8"/>
  <c r="CX258" i="8"/>
  <c r="DE257" i="8"/>
  <c r="DD257" i="8"/>
  <c r="DC257" i="8"/>
  <c r="DB257" i="8"/>
  <c r="DA257" i="8"/>
  <c r="CZ257" i="8"/>
  <c r="CY257" i="8"/>
  <c r="CX257" i="8"/>
  <c r="DE256" i="8"/>
  <c r="DD256" i="8"/>
  <c r="DC256" i="8"/>
  <c r="DB256" i="8"/>
  <c r="DA256" i="8"/>
  <c r="CZ256" i="8"/>
  <c r="CY256" i="8"/>
  <c r="CX256" i="8"/>
  <c r="DE255" i="8"/>
  <c r="DD255" i="8"/>
  <c r="DC255" i="8"/>
  <c r="DB255" i="8"/>
  <c r="DA255" i="8"/>
  <c r="CZ255" i="8"/>
  <c r="CY255" i="8"/>
  <c r="CX255" i="8"/>
  <c r="DE254" i="8"/>
  <c r="DD254" i="8"/>
  <c r="DC254" i="8"/>
  <c r="DB254" i="8"/>
  <c r="DA254" i="8"/>
  <c r="CZ254" i="8"/>
  <c r="CY254" i="8"/>
  <c r="CX254" i="8"/>
  <c r="DE253" i="8"/>
  <c r="DD253" i="8"/>
  <c r="DC253" i="8"/>
  <c r="DB253" i="8"/>
  <c r="DA253" i="8"/>
  <c r="CZ253" i="8"/>
  <c r="CY253" i="8"/>
  <c r="CX253" i="8"/>
  <c r="DE252" i="8"/>
  <c r="DD252" i="8"/>
  <c r="DC252" i="8"/>
  <c r="DB252" i="8"/>
  <c r="DA252" i="8"/>
  <c r="CZ252" i="8"/>
  <c r="CY252" i="8"/>
  <c r="CX252" i="8"/>
  <c r="DE251" i="8"/>
  <c r="DD251" i="8"/>
  <c r="DC251" i="8"/>
  <c r="DB251" i="8"/>
  <c r="DA251" i="8"/>
  <c r="CZ251" i="8"/>
  <c r="CY251" i="8"/>
  <c r="CX251" i="8"/>
  <c r="DE250" i="8"/>
  <c r="DD250" i="8"/>
  <c r="DC250" i="8"/>
  <c r="DB250" i="8"/>
  <c r="DA250" i="8"/>
  <c r="CZ250" i="8"/>
  <c r="CY250" i="8"/>
  <c r="CX250" i="8"/>
  <c r="DE249" i="8"/>
  <c r="DD249" i="8"/>
  <c r="DC249" i="8"/>
  <c r="DB249" i="8"/>
  <c r="DA249" i="8"/>
  <c r="CZ249" i="8"/>
  <c r="CY249" i="8"/>
  <c r="CX249" i="8"/>
  <c r="DE248" i="8"/>
  <c r="DD248" i="8"/>
  <c r="DC248" i="8"/>
  <c r="DB248" i="8"/>
  <c r="DA248" i="8"/>
  <c r="CZ248" i="8"/>
  <c r="CY248" i="8"/>
  <c r="CX248" i="8"/>
  <c r="DE247" i="8"/>
  <c r="DD247" i="8"/>
  <c r="DC247" i="8"/>
  <c r="DB247" i="8"/>
  <c r="DA247" i="8"/>
  <c r="CZ247" i="8"/>
  <c r="CY247" i="8"/>
  <c r="CX247" i="8"/>
  <c r="DE246" i="8"/>
  <c r="DD246" i="8"/>
  <c r="DC246" i="8"/>
  <c r="DB246" i="8"/>
  <c r="DA246" i="8"/>
  <c r="CZ246" i="8"/>
  <c r="CY246" i="8"/>
  <c r="CX246" i="8"/>
  <c r="DE245" i="8"/>
  <c r="DD245" i="8"/>
  <c r="DC245" i="8"/>
  <c r="DB245" i="8"/>
  <c r="DA245" i="8"/>
  <c r="CZ245" i="8"/>
  <c r="CY245" i="8"/>
  <c r="CX245" i="8"/>
  <c r="DE244" i="8"/>
  <c r="DD244" i="8"/>
  <c r="DC244" i="8"/>
  <c r="DB244" i="8"/>
  <c r="DA244" i="8"/>
  <c r="CZ244" i="8"/>
  <c r="CY244" i="8"/>
  <c r="CX244" i="8"/>
  <c r="DE243" i="8"/>
  <c r="DD243" i="8"/>
  <c r="DC243" i="8"/>
  <c r="DB243" i="8"/>
  <c r="DA243" i="8"/>
  <c r="CZ243" i="8"/>
  <c r="CY243" i="8"/>
  <c r="CX243" i="8"/>
  <c r="DE242" i="8"/>
  <c r="DD242" i="8"/>
  <c r="DC242" i="8"/>
  <c r="DB242" i="8"/>
  <c r="DA242" i="8"/>
  <c r="CZ242" i="8"/>
  <c r="CY242" i="8"/>
  <c r="CX242" i="8"/>
  <c r="DE241" i="8"/>
  <c r="DD241" i="8"/>
  <c r="DC241" i="8"/>
  <c r="DB241" i="8"/>
  <c r="DA241" i="8"/>
  <c r="CZ241" i="8"/>
  <c r="CY241" i="8"/>
  <c r="CX241" i="8"/>
  <c r="DE240" i="8"/>
  <c r="DD240" i="8"/>
  <c r="DC240" i="8"/>
  <c r="DB240" i="8"/>
  <c r="DA240" i="8"/>
  <c r="CZ240" i="8"/>
  <c r="CY240" i="8"/>
  <c r="CX240" i="8"/>
  <c r="DE239" i="8"/>
  <c r="DD239" i="8"/>
  <c r="DC239" i="8"/>
  <c r="DB239" i="8"/>
  <c r="DA239" i="8"/>
  <c r="CZ239" i="8"/>
  <c r="CY239" i="8"/>
  <c r="CX239" i="8"/>
  <c r="DE238" i="8"/>
  <c r="DD238" i="8"/>
  <c r="DC238" i="8"/>
  <c r="DB238" i="8"/>
  <c r="DA238" i="8"/>
  <c r="CZ238" i="8"/>
  <c r="CY238" i="8"/>
  <c r="CX238" i="8"/>
  <c r="DE237" i="8"/>
  <c r="DD237" i="8"/>
  <c r="DC237" i="8"/>
  <c r="DB237" i="8"/>
  <c r="DA237" i="8"/>
  <c r="CZ237" i="8"/>
  <c r="CY237" i="8"/>
  <c r="CX237" i="8"/>
  <c r="DE236" i="8"/>
  <c r="DD236" i="8"/>
  <c r="DC236" i="8"/>
  <c r="DB236" i="8"/>
  <c r="DA236" i="8"/>
  <c r="CZ236" i="8"/>
  <c r="CY236" i="8"/>
  <c r="CX236" i="8"/>
  <c r="DE235" i="8"/>
  <c r="DD235" i="8"/>
  <c r="DC235" i="8"/>
  <c r="DB235" i="8"/>
  <c r="DA235" i="8"/>
  <c r="CZ235" i="8"/>
  <c r="CY235" i="8"/>
  <c r="CX235" i="8"/>
  <c r="DE234" i="8"/>
  <c r="DD234" i="8"/>
  <c r="DC234" i="8"/>
  <c r="DB234" i="8"/>
  <c r="DA234" i="8"/>
  <c r="CZ234" i="8"/>
  <c r="CY234" i="8"/>
  <c r="CX234" i="8"/>
  <c r="DE233" i="8"/>
  <c r="DD233" i="8"/>
  <c r="DC233" i="8"/>
  <c r="DB233" i="8"/>
  <c r="DA233" i="8"/>
  <c r="CZ233" i="8"/>
  <c r="CY233" i="8"/>
  <c r="CX233" i="8"/>
  <c r="DE232" i="8"/>
  <c r="DD232" i="8"/>
  <c r="DC232" i="8"/>
  <c r="DB232" i="8"/>
  <c r="DA232" i="8"/>
  <c r="CZ232" i="8"/>
  <c r="CY232" i="8"/>
  <c r="CX232" i="8"/>
  <c r="DE231" i="8"/>
  <c r="DD231" i="8"/>
  <c r="DC231" i="8"/>
  <c r="DB231" i="8"/>
  <c r="DA231" i="8"/>
  <c r="CZ231" i="8"/>
  <c r="CY231" i="8"/>
  <c r="CX231" i="8"/>
  <c r="DE230" i="8"/>
  <c r="DD230" i="8"/>
  <c r="DC230" i="8"/>
  <c r="DB230" i="8"/>
  <c r="DA230" i="8"/>
  <c r="CZ230" i="8"/>
  <c r="CY230" i="8"/>
  <c r="CX230" i="8"/>
  <c r="DE229" i="8"/>
  <c r="DD229" i="8"/>
  <c r="DC229" i="8"/>
  <c r="DB229" i="8"/>
  <c r="DA229" i="8"/>
  <c r="CZ229" i="8"/>
  <c r="CY229" i="8"/>
  <c r="CX229" i="8"/>
  <c r="DE228" i="8"/>
  <c r="DD228" i="8"/>
  <c r="DC228" i="8"/>
  <c r="DB228" i="8"/>
  <c r="DA228" i="8"/>
  <c r="CZ228" i="8"/>
  <c r="CY228" i="8"/>
  <c r="CX228" i="8"/>
  <c r="DE227" i="8"/>
  <c r="DD227" i="8"/>
  <c r="DC227" i="8"/>
  <c r="DB227" i="8"/>
  <c r="DA227" i="8"/>
  <c r="CZ227" i="8"/>
  <c r="CY227" i="8"/>
  <c r="CX227" i="8"/>
  <c r="DE226" i="8"/>
  <c r="DD226" i="8"/>
  <c r="DC226" i="8"/>
  <c r="DB226" i="8"/>
  <c r="DA226" i="8"/>
  <c r="CZ226" i="8"/>
  <c r="CY226" i="8"/>
  <c r="CX226" i="8"/>
  <c r="DE225" i="8"/>
  <c r="DD225" i="8"/>
  <c r="DC225" i="8"/>
  <c r="DB225" i="8"/>
  <c r="DA225" i="8"/>
  <c r="CZ225" i="8"/>
  <c r="CY225" i="8"/>
  <c r="CX225" i="8"/>
  <c r="DE224" i="8"/>
  <c r="DD224" i="8"/>
  <c r="DC224" i="8"/>
  <c r="DB224" i="8"/>
  <c r="DA224" i="8"/>
  <c r="CZ224" i="8"/>
  <c r="CY224" i="8"/>
  <c r="CX224" i="8"/>
  <c r="DE223" i="8"/>
  <c r="DD223" i="8"/>
  <c r="DC223" i="8"/>
  <c r="DB223" i="8"/>
  <c r="DA223" i="8"/>
  <c r="CZ223" i="8"/>
  <c r="CY223" i="8"/>
  <c r="CX223" i="8"/>
  <c r="DE222" i="8"/>
  <c r="DD222" i="8"/>
  <c r="DC222" i="8"/>
  <c r="DB222" i="8"/>
  <c r="DA222" i="8"/>
  <c r="CZ222" i="8"/>
  <c r="CY222" i="8"/>
  <c r="CX222" i="8"/>
  <c r="DE221" i="8"/>
  <c r="DD221" i="8"/>
  <c r="DC221" i="8"/>
  <c r="DB221" i="8"/>
  <c r="DA221" i="8"/>
  <c r="CZ221" i="8"/>
  <c r="CY221" i="8"/>
  <c r="CX221" i="8"/>
  <c r="DE220" i="8"/>
  <c r="DD220" i="8"/>
  <c r="DC220" i="8"/>
  <c r="DB220" i="8"/>
  <c r="DA220" i="8"/>
  <c r="CZ220" i="8"/>
  <c r="CY220" i="8"/>
  <c r="CX220" i="8"/>
  <c r="DE219" i="8"/>
  <c r="DD219" i="8"/>
  <c r="DC219" i="8"/>
  <c r="DB219" i="8"/>
  <c r="DA219" i="8"/>
  <c r="CZ219" i="8"/>
  <c r="CY219" i="8"/>
  <c r="CX219" i="8"/>
  <c r="DE218" i="8"/>
  <c r="DD218" i="8"/>
  <c r="DC218" i="8"/>
  <c r="DB218" i="8"/>
  <c r="DA218" i="8"/>
  <c r="CZ218" i="8"/>
  <c r="CY218" i="8"/>
  <c r="CX218" i="8"/>
  <c r="DE217" i="8"/>
  <c r="DD217" i="8"/>
  <c r="DC217" i="8"/>
  <c r="DB217" i="8"/>
  <c r="DA217" i="8"/>
  <c r="CZ217" i="8"/>
  <c r="CY217" i="8"/>
  <c r="CX217" i="8"/>
  <c r="DE216" i="8"/>
  <c r="DD216" i="8"/>
  <c r="DC216" i="8"/>
  <c r="DB216" i="8"/>
  <c r="DA216" i="8"/>
  <c r="CZ216" i="8"/>
  <c r="CY216" i="8"/>
  <c r="CX216" i="8"/>
  <c r="DE215" i="8"/>
  <c r="DD215" i="8"/>
  <c r="DC215" i="8"/>
  <c r="DB215" i="8"/>
  <c r="DA215" i="8"/>
  <c r="CZ215" i="8"/>
  <c r="CY215" i="8"/>
  <c r="CX215" i="8"/>
  <c r="DE214" i="8"/>
  <c r="DD214" i="8"/>
  <c r="DC214" i="8"/>
  <c r="DB214" i="8"/>
  <c r="DA214" i="8"/>
  <c r="CZ214" i="8"/>
  <c r="CY214" i="8"/>
  <c r="CX214" i="8"/>
  <c r="DE213" i="8"/>
  <c r="DD213" i="8"/>
  <c r="DC213" i="8"/>
  <c r="DB213" i="8"/>
  <c r="DA213" i="8"/>
  <c r="CZ213" i="8"/>
  <c r="CY213" i="8"/>
  <c r="CX213" i="8"/>
  <c r="DE212" i="8"/>
  <c r="DD212" i="8"/>
  <c r="DC212" i="8"/>
  <c r="DB212" i="8"/>
  <c r="DA212" i="8"/>
  <c r="CZ212" i="8"/>
  <c r="CY212" i="8"/>
  <c r="CX212" i="8"/>
  <c r="DE211" i="8"/>
  <c r="DD211" i="8"/>
  <c r="DC211" i="8"/>
  <c r="DB211" i="8"/>
  <c r="DA211" i="8"/>
  <c r="CZ211" i="8"/>
  <c r="CY211" i="8"/>
  <c r="CX211" i="8"/>
  <c r="DE210" i="8"/>
  <c r="DD210" i="8"/>
  <c r="DC210" i="8"/>
  <c r="DB210" i="8"/>
  <c r="DA210" i="8"/>
  <c r="CZ210" i="8"/>
  <c r="CY210" i="8"/>
  <c r="CX210" i="8"/>
  <c r="DE209" i="8"/>
  <c r="DD209" i="8"/>
  <c r="DC209" i="8"/>
  <c r="DB209" i="8"/>
  <c r="DA209" i="8"/>
  <c r="CZ209" i="8"/>
  <c r="CY209" i="8"/>
  <c r="CX209" i="8"/>
  <c r="DE208" i="8"/>
  <c r="DD208" i="8"/>
  <c r="DC208" i="8"/>
  <c r="DB208" i="8"/>
  <c r="DA208" i="8"/>
  <c r="CZ208" i="8"/>
  <c r="CY208" i="8"/>
  <c r="CX208" i="8"/>
  <c r="DE207" i="8"/>
  <c r="DD207" i="8"/>
  <c r="DC207" i="8"/>
  <c r="DB207" i="8"/>
  <c r="DA207" i="8"/>
  <c r="CZ207" i="8"/>
  <c r="CY207" i="8"/>
  <c r="CX207" i="8"/>
  <c r="DE206" i="8"/>
  <c r="DD206" i="8"/>
  <c r="DC206" i="8"/>
  <c r="DB206" i="8"/>
  <c r="DA206" i="8"/>
  <c r="CZ206" i="8"/>
  <c r="CY206" i="8"/>
  <c r="CX206" i="8"/>
  <c r="DE205" i="8"/>
  <c r="DD205" i="8"/>
  <c r="DC205" i="8"/>
  <c r="DB205" i="8"/>
  <c r="DA205" i="8"/>
  <c r="CZ205" i="8"/>
  <c r="CY205" i="8"/>
  <c r="CX205" i="8"/>
  <c r="DE204" i="8"/>
  <c r="DD204" i="8"/>
  <c r="DC204" i="8"/>
  <c r="DB204" i="8"/>
  <c r="DA204" i="8"/>
  <c r="CZ204" i="8"/>
  <c r="CY204" i="8"/>
  <c r="CX204" i="8"/>
  <c r="DE203" i="8"/>
  <c r="DD203" i="8"/>
  <c r="DC203" i="8"/>
  <c r="DB203" i="8"/>
  <c r="DA203" i="8"/>
  <c r="CZ203" i="8"/>
  <c r="CY203" i="8"/>
  <c r="CX203" i="8"/>
  <c r="DE202" i="8"/>
  <c r="DD202" i="8"/>
  <c r="DC202" i="8"/>
  <c r="DB202" i="8"/>
  <c r="DA202" i="8"/>
  <c r="CZ202" i="8"/>
  <c r="CY202" i="8"/>
  <c r="CX202" i="8"/>
  <c r="DE201" i="8"/>
  <c r="DD201" i="8"/>
  <c r="DC201" i="8"/>
  <c r="DB201" i="8"/>
  <c r="DA201" i="8"/>
  <c r="CZ201" i="8"/>
  <c r="CY201" i="8"/>
  <c r="CX201" i="8"/>
  <c r="DE200" i="8"/>
  <c r="DD200" i="8"/>
  <c r="DC200" i="8"/>
  <c r="DB200" i="8"/>
  <c r="DA200" i="8"/>
  <c r="CZ200" i="8"/>
  <c r="CY200" i="8"/>
  <c r="CX200" i="8"/>
  <c r="DE199" i="8"/>
  <c r="DD199" i="8"/>
  <c r="DC199" i="8"/>
  <c r="DB199" i="8"/>
  <c r="DA199" i="8"/>
  <c r="CZ199" i="8"/>
  <c r="CY199" i="8"/>
  <c r="CX199" i="8"/>
  <c r="DE198" i="8"/>
  <c r="DD198" i="8"/>
  <c r="DC198" i="8"/>
  <c r="DB198" i="8"/>
  <c r="DA198" i="8"/>
  <c r="CZ198" i="8"/>
  <c r="CY198" i="8"/>
  <c r="CX198" i="8"/>
  <c r="DE197" i="8"/>
  <c r="DD197" i="8"/>
  <c r="DC197" i="8"/>
  <c r="DB197" i="8"/>
  <c r="DA197" i="8"/>
  <c r="CZ197" i="8"/>
  <c r="CY197" i="8"/>
  <c r="CX197" i="8"/>
  <c r="DE196" i="8"/>
  <c r="DD196" i="8"/>
  <c r="DC196" i="8"/>
  <c r="DB196" i="8"/>
  <c r="DA196" i="8"/>
  <c r="CZ196" i="8"/>
  <c r="CY196" i="8"/>
  <c r="CX196" i="8"/>
  <c r="DE195" i="8"/>
  <c r="DD195" i="8"/>
  <c r="DC195" i="8"/>
  <c r="DB195" i="8"/>
  <c r="DA195" i="8"/>
  <c r="CZ195" i="8"/>
  <c r="CY195" i="8"/>
  <c r="CX195" i="8"/>
  <c r="DE194" i="8"/>
  <c r="DD194" i="8"/>
  <c r="DC194" i="8"/>
  <c r="DB194" i="8"/>
  <c r="DA194" i="8"/>
  <c r="CZ194" i="8"/>
  <c r="CY194" i="8"/>
  <c r="CX194" i="8"/>
  <c r="DE193" i="8"/>
  <c r="DD193" i="8"/>
  <c r="DC193" i="8"/>
  <c r="DB193" i="8"/>
  <c r="DA193" i="8"/>
  <c r="CZ193" i="8"/>
  <c r="CY193" i="8"/>
  <c r="CX193" i="8"/>
  <c r="DE192" i="8"/>
  <c r="DD192" i="8"/>
  <c r="DC192" i="8"/>
  <c r="DB192" i="8"/>
  <c r="DA192" i="8"/>
  <c r="CZ192" i="8"/>
  <c r="CY192" i="8"/>
  <c r="CX192" i="8"/>
  <c r="DE191" i="8"/>
  <c r="DD191" i="8"/>
  <c r="DC191" i="8"/>
  <c r="DB191" i="8"/>
  <c r="DA191" i="8"/>
  <c r="CZ191" i="8"/>
  <c r="CY191" i="8"/>
  <c r="CX191" i="8"/>
  <c r="DE190" i="8"/>
  <c r="DD190" i="8"/>
  <c r="DC190" i="8"/>
  <c r="DB190" i="8"/>
  <c r="DA190" i="8"/>
  <c r="CZ190" i="8"/>
  <c r="CY190" i="8"/>
  <c r="CX190" i="8"/>
  <c r="DE189" i="8"/>
  <c r="DD189" i="8"/>
  <c r="DC189" i="8"/>
  <c r="DB189" i="8"/>
  <c r="DA189" i="8"/>
  <c r="CZ189" i="8"/>
  <c r="CY189" i="8"/>
  <c r="CX189" i="8"/>
  <c r="DE188" i="8"/>
  <c r="DD188" i="8"/>
  <c r="DC188" i="8"/>
  <c r="DB188" i="8"/>
  <c r="DA188" i="8"/>
  <c r="CZ188" i="8"/>
  <c r="CY188" i="8"/>
  <c r="CX188" i="8"/>
  <c r="DE187" i="8"/>
  <c r="DD187" i="8"/>
  <c r="DC187" i="8"/>
  <c r="DB187" i="8"/>
  <c r="DA187" i="8"/>
  <c r="CZ187" i="8"/>
  <c r="CY187" i="8"/>
  <c r="CX187" i="8"/>
  <c r="DE186" i="8"/>
  <c r="DD186" i="8"/>
  <c r="DC186" i="8"/>
  <c r="DB186" i="8"/>
  <c r="DA186" i="8"/>
  <c r="CZ186" i="8"/>
  <c r="CY186" i="8"/>
  <c r="CX186" i="8"/>
  <c r="DE185" i="8"/>
  <c r="DD185" i="8"/>
  <c r="DC185" i="8"/>
  <c r="DB185" i="8"/>
  <c r="DA185" i="8"/>
  <c r="CZ185" i="8"/>
  <c r="CY185" i="8"/>
  <c r="CX185" i="8"/>
  <c r="DE184" i="8"/>
  <c r="DD184" i="8"/>
  <c r="DC184" i="8"/>
  <c r="DB184" i="8"/>
  <c r="DA184" i="8"/>
  <c r="CZ184" i="8"/>
  <c r="CY184" i="8"/>
  <c r="CX184" i="8"/>
  <c r="DE183" i="8"/>
  <c r="DD183" i="8"/>
  <c r="DC183" i="8"/>
  <c r="DB183" i="8"/>
  <c r="DA183" i="8"/>
  <c r="CZ183" i="8"/>
  <c r="CY183" i="8"/>
  <c r="CX183" i="8"/>
  <c r="DE182" i="8"/>
  <c r="DD182" i="8"/>
  <c r="DC182" i="8"/>
  <c r="DB182" i="8"/>
  <c r="DA182" i="8"/>
  <c r="CZ182" i="8"/>
  <c r="CY182" i="8"/>
  <c r="CX182" i="8"/>
  <c r="DE181" i="8"/>
  <c r="DD181" i="8"/>
  <c r="DC181" i="8"/>
  <c r="DB181" i="8"/>
  <c r="DA181" i="8"/>
  <c r="CZ181" i="8"/>
  <c r="CY181" i="8"/>
  <c r="CX181" i="8"/>
  <c r="DE180" i="8"/>
  <c r="DD180" i="8"/>
  <c r="DC180" i="8"/>
  <c r="DB180" i="8"/>
  <c r="DA180" i="8"/>
  <c r="CZ180" i="8"/>
  <c r="CY180" i="8"/>
  <c r="CX180" i="8"/>
  <c r="DE179" i="8"/>
  <c r="DD179" i="8"/>
  <c r="DC179" i="8"/>
  <c r="DB179" i="8"/>
  <c r="DA179" i="8"/>
  <c r="CZ179" i="8"/>
  <c r="CY179" i="8"/>
  <c r="CX179" i="8"/>
  <c r="DE178" i="8"/>
  <c r="DD178" i="8"/>
  <c r="DC178" i="8"/>
  <c r="DB178" i="8"/>
  <c r="DA178" i="8"/>
  <c r="CZ178" i="8"/>
  <c r="CY178" i="8"/>
  <c r="CX178" i="8"/>
  <c r="DE177" i="8"/>
  <c r="DD177" i="8"/>
  <c r="DC177" i="8"/>
  <c r="DB177" i="8"/>
  <c r="DA177" i="8"/>
  <c r="CZ177" i="8"/>
  <c r="CY177" i="8"/>
  <c r="CX177" i="8"/>
  <c r="DE176" i="8"/>
  <c r="DD176" i="8"/>
  <c r="DC176" i="8"/>
  <c r="DB176" i="8"/>
  <c r="DA176" i="8"/>
  <c r="CZ176" i="8"/>
  <c r="CY176" i="8"/>
  <c r="CX176" i="8"/>
  <c r="DE175" i="8"/>
  <c r="DD175" i="8"/>
  <c r="DC175" i="8"/>
  <c r="DB175" i="8"/>
  <c r="DA175" i="8"/>
  <c r="CZ175" i="8"/>
  <c r="CY175" i="8"/>
  <c r="CX175" i="8"/>
  <c r="DE174" i="8"/>
  <c r="DD174" i="8"/>
  <c r="DC174" i="8"/>
  <c r="DB174" i="8"/>
  <c r="DA174" i="8"/>
  <c r="CZ174" i="8"/>
  <c r="CY174" i="8"/>
  <c r="CX174" i="8"/>
  <c r="DE173" i="8"/>
  <c r="DD173" i="8"/>
  <c r="DC173" i="8"/>
  <c r="DB173" i="8"/>
  <c r="DA173" i="8"/>
  <c r="CZ173" i="8"/>
  <c r="CY173" i="8"/>
  <c r="CX173" i="8"/>
  <c r="DE172" i="8"/>
  <c r="DD172" i="8"/>
  <c r="DC172" i="8"/>
  <c r="DB172" i="8"/>
  <c r="DA172" i="8"/>
  <c r="CZ172" i="8"/>
  <c r="CY172" i="8"/>
  <c r="CX172" i="8"/>
  <c r="DE171" i="8"/>
  <c r="DD171" i="8"/>
  <c r="DC171" i="8"/>
  <c r="DB171" i="8"/>
  <c r="DA171" i="8"/>
  <c r="CZ171" i="8"/>
  <c r="CY171" i="8"/>
  <c r="CX171" i="8"/>
  <c r="DE170" i="8"/>
  <c r="DD170" i="8"/>
  <c r="DC170" i="8"/>
  <c r="DB170" i="8"/>
  <c r="DA170" i="8"/>
  <c r="CZ170" i="8"/>
  <c r="CY170" i="8"/>
  <c r="CX170" i="8"/>
  <c r="DE169" i="8"/>
  <c r="DD169" i="8"/>
  <c r="DC169" i="8"/>
  <c r="DB169" i="8"/>
  <c r="DA169" i="8"/>
  <c r="CZ169" i="8"/>
  <c r="CY169" i="8"/>
  <c r="CX169" i="8"/>
  <c r="DE168" i="8"/>
  <c r="DD168" i="8"/>
  <c r="DC168" i="8"/>
  <c r="DB168" i="8"/>
  <c r="DA168" i="8"/>
  <c r="CZ168" i="8"/>
  <c r="CY168" i="8"/>
  <c r="CX168" i="8"/>
  <c r="DE167" i="8"/>
  <c r="DD167" i="8"/>
  <c r="DC167" i="8"/>
  <c r="DB167" i="8"/>
  <c r="DA167" i="8"/>
  <c r="CZ167" i="8"/>
  <c r="CY167" i="8"/>
  <c r="CX167" i="8"/>
  <c r="DE166" i="8"/>
  <c r="DD166" i="8"/>
  <c r="DC166" i="8"/>
  <c r="DB166" i="8"/>
  <c r="DA166" i="8"/>
  <c r="CZ166" i="8"/>
  <c r="CY166" i="8"/>
  <c r="CX166" i="8"/>
  <c r="DE165" i="8"/>
  <c r="DD165" i="8"/>
  <c r="DC165" i="8"/>
  <c r="DB165" i="8"/>
  <c r="DA165" i="8"/>
  <c r="CZ165" i="8"/>
  <c r="CY165" i="8"/>
  <c r="CX165" i="8"/>
  <c r="DE164" i="8"/>
  <c r="DD164" i="8"/>
  <c r="DC164" i="8"/>
  <c r="DB164" i="8"/>
  <c r="DA164" i="8"/>
  <c r="CZ164" i="8"/>
  <c r="CY164" i="8"/>
  <c r="CX164" i="8"/>
  <c r="DE163" i="8"/>
  <c r="DD163" i="8"/>
  <c r="DC163" i="8"/>
  <c r="DB163" i="8"/>
  <c r="DA163" i="8"/>
  <c r="CZ163" i="8"/>
  <c r="CY163" i="8"/>
  <c r="CX163" i="8"/>
  <c r="DE162" i="8"/>
  <c r="DD162" i="8"/>
  <c r="DC162" i="8"/>
  <c r="DB162" i="8"/>
  <c r="DA162" i="8"/>
  <c r="CZ162" i="8"/>
  <c r="CY162" i="8"/>
  <c r="CX162" i="8"/>
  <c r="DE161" i="8"/>
  <c r="DD161" i="8"/>
  <c r="DC161" i="8"/>
  <c r="DB161" i="8"/>
  <c r="DA161" i="8"/>
  <c r="CZ161" i="8"/>
  <c r="CY161" i="8"/>
  <c r="CX161" i="8"/>
  <c r="DE160" i="8"/>
  <c r="DD160" i="8"/>
  <c r="DC160" i="8"/>
  <c r="DB160" i="8"/>
  <c r="DA160" i="8"/>
  <c r="CZ160" i="8"/>
  <c r="CY160" i="8"/>
  <c r="CX160" i="8"/>
  <c r="DE159" i="8"/>
  <c r="DD159" i="8"/>
  <c r="DC159" i="8"/>
  <c r="DB159" i="8"/>
  <c r="DA159" i="8"/>
  <c r="CZ159" i="8"/>
  <c r="CY159" i="8"/>
  <c r="CX159" i="8"/>
  <c r="DE158" i="8"/>
  <c r="DD158" i="8"/>
  <c r="DC158" i="8"/>
  <c r="DB158" i="8"/>
  <c r="DA158" i="8"/>
  <c r="CZ158" i="8"/>
  <c r="CY158" i="8"/>
  <c r="CX158" i="8"/>
  <c r="DE157" i="8"/>
  <c r="DD157" i="8"/>
  <c r="DC157" i="8"/>
  <c r="DB157" i="8"/>
  <c r="DA157" i="8"/>
  <c r="CZ157" i="8"/>
  <c r="CY157" i="8"/>
  <c r="CX157" i="8"/>
  <c r="DE156" i="8"/>
  <c r="DD156" i="8"/>
  <c r="DC156" i="8"/>
  <c r="DB156" i="8"/>
  <c r="DA156" i="8"/>
  <c r="CZ156" i="8"/>
  <c r="CY156" i="8"/>
  <c r="CX156" i="8"/>
  <c r="DE155" i="8"/>
  <c r="DD155" i="8"/>
  <c r="DC155" i="8"/>
  <c r="DB155" i="8"/>
  <c r="DA155" i="8"/>
  <c r="CZ155" i="8"/>
  <c r="CY155" i="8"/>
  <c r="CX155" i="8"/>
  <c r="DE154" i="8"/>
  <c r="DD154" i="8"/>
  <c r="DC154" i="8"/>
  <c r="DB154" i="8"/>
  <c r="DA154" i="8"/>
  <c r="CZ154" i="8"/>
  <c r="CY154" i="8"/>
  <c r="CX154" i="8"/>
  <c r="DE153" i="8"/>
  <c r="DD153" i="8"/>
  <c r="DC153" i="8"/>
  <c r="DB153" i="8"/>
  <c r="DA153" i="8"/>
  <c r="CZ153" i="8"/>
  <c r="CY153" i="8"/>
  <c r="CX153" i="8"/>
  <c r="DE152" i="8"/>
  <c r="DD152" i="8"/>
  <c r="DC152" i="8"/>
  <c r="DB152" i="8"/>
  <c r="DA152" i="8"/>
  <c r="CZ152" i="8"/>
  <c r="CY152" i="8"/>
  <c r="CX152" i="8"/>
  <c r="DE151" i="8"/>
  <c r="DD151" i="8"/>
  <c r="DC151" i="8"/>
  <c r="DB151" i="8"/>
  <c r="DA151" i="8"/>
  <c r="CZ151" i="8"/>
  <c r="CY151" i="8"/>
  <c r="CX151" i="8"/>
  <c r="DE150" i="8"/>
  <c r="DD150" i="8"/>
  <c r="DC150" i="8"/>
  <c r="DB150" i="8"/>
  <c r="DA150" i="8"/>
  <c r="CZ150" i="8"/>
  <c r="CY150" i="8"/>
  <c r="CX150" i="8"/>
  <c r="DE149" i="8"/>
  <c r="DD149" i="8"/>
  <c r="DC149" i="8"/>
  <c r="DB149" i="8"/>
  <c r="DA149" i="8"/>
  <c r="CZ149" i="8"/>
  <c r="CY149" i="8"/>
  <c r="CX149" i="8"/>
  <c r="DE148" i="8"/>
  <c r="DD148" i="8"/>
  <c r="DC148" i="8"/>
  <c r="DB148" i="8"/>
  <c r="DA148" i="8"/>
  <c r="CZ148" i="8"/>
  <c r="CY148" i="8"/>
  <c r="CX148" i="8"/>
  <c r="DE147" i="8"/>
  <c r="DD147" i="8"/>
  <c r="DC147" i="8"/>
  <c r="DB147" i="8"/>
  <c r="DA147" i="8"/>
  <c r="CZ147" i="8"/>
  <c r="CY147" i="8"/>
  <c r="CX147" i="8"/>
  <c r="DE146" i="8"/>
  <c r="DD146" i="8"/>
  <c r="DC146" i="8"/>
  <c r="DB146" i="8"/>
  <c r="DA146" i="8"/>
  <c r="CZ146" i="8"/>
  <c r="CY146" i="8"/>
  <c r="CX146" i="8"/>
  <c r="DE145" i="8"/>
  <c r="DD145" i="8"/>
  <c r="DC145" i="8"/>
  <c r="DB145" i="8"/>
  <c r="DA145" i="8"/>
  <c r="CZ145" i="8"/>
  <c r="CY145" i="8"/>
  <c r="CX145" i="8"/>
  <c r="DE144" i="8"/>
  <c r="DD144" i="8"/>
  <c r="DC144" i="8"/>
  <c r="DB144" i="8"/>
  <c r="DA144" i="8"/>
  <c r="CZ144" i="8"/>
  <c r="CY144" i="8"/>
  <c r="CX144" i="8"/>
  <c r="DE143" i="8"/>
  <c r="DD143" i="8"/>
  <c r="DC143" i="8"/>
  <c r="DB143" i="8"/>
  <c r="DA143" i="8"/>
  <c r="CZ143" i="8"/>
  <c r="CY143" i="8"/>
  <c r="CX143" i="8"/>
  <c r="DE142" i="8"/>
  <c r="DD142" i="8"/>
  <c r="DC142" i="8"/>
  <c r="DB142" i="8"/>
  <c r="DA142" i="8"/>
  <c r="CZ142" i="8"/>
  <c r="CY142" i="8"/>
  <c r="CX142" i="8"/>
  <c r="DE141" i="8"/>
  <c r="DD141" i="8"/>
  <c r="DC141" i="8"/>
  <c r="DB141" i="8"/>
  <c r="DA141" i="8"/>
  <c r="CZ141" i="8"/>
  <c r="CY141" i="8"/>
  <c r="CX141" i="8"/>
  <c r="DE140" i="8"/>
  <c r="DD140" i="8"/>
  <c r="DC140" i="8"/>
  <c r="DB140" i="8"/>
  <c r="DA140" i="8"/>
  <c r="CZ140" i="8"/>
  <c r="CY140" i="8"/>
  <c r="CX140" i="8"/>
  <c r="DE139" i="8"/>
  <c r="DD139" i="8"/>
  <c r="DC139" i="8"/>
  <c r="DB139" i="8"/>
  <c r="DA139" i="8"/>
  <c r="CZ139" i="8"/>
  <c r="CY139" i="8"/>
  <c r="CX139" i="8"/>
  <c r="DE138" i="8"/>
  <c r="DD138" i="8"/>
  <c r="DC138" i="8"/>
  <c r="DB138" i="8"/>
  <c r="DA138" i="8"/>
  <c r="CZ138" i="8"/>
  <c r="CY138" i="8"/>
  <c r="CX138" i="8"/>
  <c r="DE137" i="8"/>
  <c r="DD137" i="8"/>
  <c r="DC137" i="8"/>
  <c r="DB137" i="8"/>
  <c r="DA137" i="8"/>
  <c r="CZ137" i="8"/>
  <c r="CY137" i="8"/>
  <c r="CX137" i="8"/>
  <c r="DE136" i="8"/>
  <c r="DD136" i="8"/>
  <c r="DC136" i="8"/>
  <c r="DB136" i="8"/>
  <c r="DA136" i="8"/>
  <c r="CZ136" i="8"/>
  <c r="CY136" i="8"/>
  <c r="CX136" i="8"/>
  <c r="DE135" i="8"/>
  <c r="DD135" i="8"/>
  <c r="DC135" i="8"/>
  <c r="DB135" i="8"/>
  <c r="DA135" i="8"/>
  <c r="CZ135" i="8"/>
  <c r="CY135" i="8"/>
  <c r="CX135" i="8"/>
  <c r="DE134" i="8"/>
  <c r="DD134" i="8"/>
  <c r="DC134" i="8"/>
  <c r="DB134" i="8"/>
  <c r="DA134" i="8"/>
  <c r="CZ134" i="8"/>
  <c r="CY134" i="8"/>
  <c r="CX134" i="8"/>
  <c r="DE133" i="8"/>
  <c r="DD133" i="8"/>
  <c r="DC133" i="8"/>
  <c r="DB133" i="8"/>
  <c r="DA133" i="8"/>
  <c r="CZ133" i="8"/>
  <c r="CY133" i="8"/>
  <c r="CX133" i="8"/>
  <c r="DE132" i="8"/>
  <c r="DD132" i="8"/>
  <c r="DC132" i="8"/>
  <c r="DB132" i="8"/>
  <c r="DA132" i="8"/>
  <c r="CZ132" i="8"/>
  <c r="CY132" i="8"/>
  <c r="CX132" i="8"/>
  <c r="DE131" i="8"/>
  <c r="DD131" i="8"/>
  <c r="DC131" i="8"/>
  <c r="DB131" i="8"/>
  <c r="DA131" i="8"/>
  <c r="CZ131" i="8"/>
  <c r="CY131" i="8"/>
  <c r="CX131" i="8"/>
  <c r="DE130" i="8"/>
  <c r="DD130" i="8"/>
  <c r="DC130" i="8"/>
  <c r="DB130" i="8"/>
  <c r="DA130" i="8"/>
  <c r="CZ130" i="8"/>
  <c r="CY130" i="8"/>
  <c r="CX130" i="8"/>
  <c r="DE129" i="8"/>
  <c r="DD129" i="8"/>
  <c r="DC129" i="8"/>
  <c r="DB129" i="8"/>
  <c r="DA129" i="8"/>
  <c r="CZ129" i="8"/>
  <c r="CY129" i="8"/>
  <c r="CX129" i="8"/>
  <c r="DE128" i="8"/>
  <c r="DD128" i="8"/>
  <c r="DC128" i="8"/>
  <c r="DB128" i="8"/>
  <c r="DA128" i="8"/>
  <c r="CZ128" i="8"/>
  <c r="CY128" i="8"/>
  <c r="CX128" i="8"/>
  <c r="DE127" i="8"/>
  <c r="DD127" i="8"/>
  <c r="DC127" i="8"/>
  <c r="DB127" i="8"/>
  <c r="DA127" i="8"/>
  <c r="CZ127" i="8"/>
  <c r="CY127" i="8"/>
  <c r="CX127" i="8"/>
  <c r="DE126" i="8"/>
  <c r="DD126" i="8"/>
  <c r="DC126" i="8"/>
  <c r="DB126" i="8"/>
  <c r="DA126" i="8"/>
  <c r="CZ126" i="8"/>
  <c r="CY126" i="8"/>
  <c r="CX126" i="8"/>
  <c r="DE125" i="8"/>
  <c r="DD125" i="8"/>
  <c r="DC125" i="8"/>
  <c r="DB125" i="8"/>
  <c r="DA125" i="8"/>
  <c r="CZ125" i="8"/>
  <c r="CY125" i="8"/>
  <c r="CX125" i="8"/>
  <c r="DE124" i="8"/>
  <c r="DD124" i="8"/>
  <c r="DC124" i="8"/>
  <c r="DB124" i="8"/>
  <c r="DA124" i="8"/>
  <c r="CZ124" i="8"/>
  <c r="CY124" i="8"/>
  <c r="CX124" i="8"/>
  <c r="DE123" i="8"/>
  <c r="DD123" i="8"/>
  <c r="DC123" i="8"/>
  <c r="DB123" i="8"/>
  <c r="DA123" i="8"/>
  <c r="CZ123" i="8"/>
  <c r="CY123" i="8"/>
  <c r="CX123" i="8"/>
  <c r="DE122" i="8"/>
  <c r="DD122" i="8"/>
  <c r="DC122" i="8"/>
  <c r="DB122" i="8"/>
  <c r="DA122" i="8"/>
  <c r="CZ122" i="8"/>
  <c r="CY122" i="8"/>
  <c r="CX122" i="8"/>
  <c r="DE121" i="8"/>
  <c r="DD121" i="8"/>
  <c r="DC121" i="8"/>
  <c r="DB121" i="8"/>
  <c r="DA121" i="8"/>
  <c r="CZ121" i="8"/>
  <c r="CY121" i="8"/>
  <c r="CX121" i="8"/>
  <c r="DE120" i="8"/>
  <c r="DD120" i="8"/>
  <c r="DC120" i="8"/>
  <c r="DB120" i="8"/>
  <c r="DA120" i="8"/>
  <c r="CZ120" i="8"/>
  <c r="CY120" i="8"/>
  <c r="CX120" i="8"/>
  <c r="DE119" i="8"/>
  <c r="DD119" i="8"/>
  <c r="DC119" i="8"/>
  <c r="DB119" i="8"/>
  <c r="DA119" i="8"/>
  <c r="CZ119" i="8"/>
  <c r="CY119" i="8"/>
  <c r="CX119" i="8"/>
  <c r="DE118" i="8"/>
  <c r="DD118" i="8"/>
  <c r="DC118" i="8"/>
  <c r="DB118" i="8"/>
  <c r="DA118" i="8"/>
  <c r="CZ118" i="8"/>
  <c r="CY118" i="8"/>
  <c r="CX118" i="8"/>
  <c r="DE117" i="8"/>
  <c r="DD117" i="8"/>
  <c r="DC117" i="8"/>
  <c r="DB117" i="8"/>
  <c r="DA117" i="8"/>
  <c r="CZ117" i="8"/>
  <c r="CY117" i="8"/>
  <c r="CX117" i="8"/>
  <c r="DE116" i="8"/>
  <c r="DD116" i="8"/>
  <c r="DC116" i="8"/>
  <c r="DB116" i="8"/>
  <c r="DA116" i="8"/>
  <c r="CZ116" i="8"/>
  <c r="CY116" i="8"/>
  <c r="CX116" i="8"/>
  <c r="DE115" i="8"/>
  <c r="DD115" i="8"/>
  <c r="DC115" i="8"/>
  <c r="DB115" i="8"/>
  <c r="DA115" i="8"/>
  <c r="CZ115" i="8"/>
  <c r="CY115" i="8"/>
  <c r="CX115" i="8"/>
  <c r="DE114" i="8"/>
  <c r="DD114" i="8"/>
  <c r="DC114" i="8"/>
  <c r="DB114" i="8"/>
  <c r="DA114" i="8"/>
  <c r="CZ114" i="8"/>
  <c r="CY114" i="8"/>
  <c r="CX114" i="8"/>
  <c r="DE113" i="8"/>
  <c r="DD113" i="8"/>
  <c r="DC113" i="8"/>
  <c r="DB113" i="8"/>
  <c r="DA113" i="8"/>
  <c r="CZ113" i="8"/>
  <c r="CY113" i="8"/>
  <c r="CX113" i="8"/>
  <c r="DE112" i="8"/>
  <c r="DD112" i="8"/>
  <c r="DC112" i="8"/>
  <c r="DB112" i="8"/>
  <c r="DA112" i="8"/>
  <c r="CZ112" i="8"/>
  <c r="CY112" i="8"/>
  <c r="CX112" i="8"/>
  <c r="DE111" i="8"/>
  <c r="DD111" i="8"/>
  <c r="DC111" i="8"/>
  <c r="DB111" i="8"/>
  <c r="DA111" i="8"/>
  <c r="CZ111" i="8"/>
  <c r="CY111" i="8"/>
  <c r="CX111" i="8"/>
  <c r="DE110" i="8"/>
  <c r="DD110" i="8"/>
  <c r="DC110" i="8"/>
  <c r="DB110" i="8"/>
  <c r="DA110" i="8"/>
  <c r="CZ110" i="8"/>
  <c r="CY110" i="8"/>
  <c r="CX110" i="8"/>
  <c r="DE109" i="8"/>
  <c r="DD109" i="8"/>
  <c r="DC109" i="8"/>
  <c r="DB109" i="8"/>
  <c r="DA109" i="8"/>
  <c r="CZ109" i="8"/>
  <c r="CY109" i="8"/>
  <c r="CX109" i="8"/>
  <c r="DE108" i="8"/>
  <c r="DD108" i="8"/>
  <c r="DC108" i="8"/>
  <c r="DB108" i="8"/>
  <c r="DA108" i="8"/>
  <c r="CZ108" i="8"/>
  <c r="CY108" i="8"/>
  <c r="CX108" i="8"/>
  <c r="DE107" i="8"/>
  <c r="DD107" i="8"/>
  <c r="DC107" i="8"/>
  <c r="DB107" i="8"/>
  <c r="DA107" i="8"/>
  <c r="CZ107" i="8"/>
  <c r="CY107" i="8"/>
  <c r="CX107" i="8"/>
  <c r="DE106" i="8"/>
  <c r="DD106" i="8"/>
  <c r="DC106" i="8"/>
  <c r="DB106" i="8"/>
  <c r="DA106" i="8"/>
  <c r="CZ106" i="8"/>
  <c r="CY106" i="8"/>
  <c r="CX106" i="8"/>
  <c r="DE105" i="8"/>
  <c r="DD105" i="8"/>
  <c r="DC105" i="8"/>
  <c r="DB105" i="8"/>
  <c r="DA105" i="8"/>
  <c r="CZ105" i="8"/>
  <c r="CY105" i="8"/>
  <c r="CX105" i="8"/>
  <c r="DE104" i="8"/>
  <c r="DD104" i="8"/>
  <c r="DC104" i="8"/>
  <c r="DB104" i="8"/>
  <c r="DA104" i="8"/>
  <c r="CZ104" i="8"/>
  <c r="CY104" i="8"/>
  <c r="CX104" i="8"/>
  <c r="DE103" i="8"/>
  <c r="DD103" i="8"/>
  <c r="DC103" i="8"/>
  <c r="DB103" i="8"/>
  <c r="DA103" i="8"/>
  <c r="CZ103" i="8"/>
  <c r="CY103" i="8"/>
  <c r="CX103" i="8"/>
  <c r="DE102" i="8"/>
  <c r="DD102" i="8"/>
  <c r="DC102" i="8"/>
  <c r="DB102" i="8"/>
  <c r="DA102" i="8"/>
  <c r="CZ102" i="8"/>
  <c r="CY102" i="8"/>
  <c r="CX102" i="8"/>
  <c r="DE101" i="8"/>
  <c r="DD101" i="8"/>
  <c r="DC101" i="8"/>
  <c r="DB101" i="8"/>
  <c r="DA101" i="8"/>
  <c r="CZ101" i="8"/>
  <c r="CY101" i="8"/>
  <c r="CX101" i="8"/>
  <c r="DE100" i="8"/>
  <c r="DD100" i="8"/>
  <c r="DC100" i="8"/>
  <c r="DB100" i="8"/>
  <c r="DA100" i="8"/>
  <c r="CZ100" i="8"/>
  <c r="CY100" i="8"/>
  <c r="CX100" i="8"/>
  <c r="DE99" i="8"/>
  <c r="DD99" i="8"/>
  <c r="DC99" i="8"/>
  <c r="DB99" i="8"/>
  <c r="DA99" i="8"/>
  <c r="CZ99" i="8"/>
  <c r="CY99" i="8"/>
  <c r="CX99" i="8"/>
  <c r="DE98" i="8"/>
  <c r="DD98" i="8"/>
  <c r="DC98" i="8"/>
  <c r="DB98" i="8"/>
  <c r="DA98" i="8"/>
  <c r="CZ98" i="8"/>
  <c r="CY98" i="8"/>
  <c r="CX98" i="8"/>
  <c r="DE97" i="8"/>
  <c r="DD97" i="8"/>
  <c r="DC97" i="8"/>
  <c r="DB97" i="8"/>
  <c r="DA97" i="8"/>
  <c r="CZ97" i="8"/>
  <c r="CY97" i="8"/>
  <c r="CX97" i="8"/>
  <c r="DE96" i="8"/>
  <c r="DD96" i="8"/>
  <c r="DC96" i="8"/>
  <c r="DB96" i="8"/>
  <c r="DA96" i="8"/>
  <c r="CZ96" i="8"/>
  <c r="CY96" i="8"/>
  <c r="CX96" i="8"/>
  <c r="DE95" i="8"/>
  <c r="DD95" i="8"/>
  <c r="DC95" i="8"/>
  <c r="DB95" i="8"/>
  <c r="DA95" i="8"/>
  <c r="CZ95" i="8"/>
  <c r="CY95" i="8"/>
  <c r="CX95" i="8"/>
  <c r="DE94" i="8"/>
  <c r="DD94" i="8"/>
  <c r="DC94" i="8"/>
  <c r="DB94" i="8"/>
  <c r="DA94" i="8"/>
  <c r="CZ94" i="8"/>
  <c r="CY94" i="8"/>
  <c r="CX94" i="8"/>
  <c r="DE93" i="8"/>
  <c r="DD93" i="8"/>
  <c r="DC93" i="8"/>
  <c r="DB93" i="8"/>
  <c r="DA93" i="8"/>
  <c r="CZ93" i="8"/>
  <c r="CY93" i="8"/>
  <c r="CX93" i="8"/>
  <c r="DE92" i="8"/>
  <c r="DD92" i="8"/>
  <c r="DC92" i="8"/>
  <c r="DB92" i="8"/>
  <c r="DA92" i="8"/>
  <c r="CZ92" i="8"/>
  <c r="CY92" i="8"/>
  <c r="CX92" i="8"/>
  <c r="DE91" i="8"/>
  <c r="DD91" i="8"/>
  <c r="DC91" i="8"/>
  <c r="DB91" i="8"/>
  <c r="DA91" i="8"/>
  <c r="CZ91" i="8"/>
  <c r="CY91" i="8"/>
  <c r="CX91" i="8"/>
  <c r="DE90" i="8"/>
  <c r="DD90" i="8"/>
  <c r="DC90" i="8"/>
  <c r="DB90" i="8"/>
  <c r="DA90" i="8"/>
  <c r="CZ90" i="8"/>
  <c r="CY90" i="8"/>
  <c r="CX90" i="8"/>
  <c r="DE89" i="8"/>
  <c r="DD89" i="8"/>
  <c r="DC89" i="8"/>
  <c r="DB89" i="8"/>
  <c r="DA89" i="8"/>
  <c r="CZ89" i="8"/>
  <c r="CY89" i="8"/>
  <c r="CX89" i="8"/>
  <c r="DE88" i="8"/>
  <c r="DD88" i="8"/>
  <c r="DC88" i="8"/>
  <c r="DB88" i="8"/>
  <c r="DA88" i="8"/>
  <c r="CZ88" i="8"/>
  <c r="CY88" i="8"/>
  <c r="CX88" i="8"/>
  <c r="DE87" i="8"/>
  <c r="DD87" i="8"/>
  <c r="DC87" i="8"/>
  <c r="DB87" i="8"/>
  <c r="DA87" i="8"/>
  <c r="CZ87" i="8"/>
  <c r="CY87" i="8"/>
  <c r="CX87" i="8"/>
  <c r="DE86" i="8"/>
  <c r="DD86" i="8"/>
  <c r="DC86" i="8"/>
  <c r="DB86" i="8"/>
  <c r="DA86" i="8"/>
  <c r="CZ86" i="8"/>
  <c r="CY86" i="8"/>
  <c r="CX86" i="8"/>
  <c r="DE85" i="8"/>
  <c r="DD85" i="8"/>
  <c r="DC85" i="8"/>
  <c r="DB85" i="8"/>
  <c r="DA85" i="8"/>
  <c r="CZ85" i="8"/>
  <c r="CY85" i="8"/>
  <c r="CX85" i="8"/>
  <c r="DE84" i="8"/>
  <c r="DD84" i="8"/>
  <c r="DC84" i="8"/>
  <c r="DB84" i="8"/>
  <c r="DA84" i="8"/>
  <c r="CZ84" i="8"/>
  <c r="CY84" i="8"/>
  <c r="CX84" i="8"/>
  <c r="DE83" i="8"/>
  <c r="DD83" i="8"/>
  <c r="DC83" i="8"/>
  <c r="DB83" i="8"/>
  <c r="DA83" i="8"/>
  <c r="CZ83" i="8"/>
  <c r="CY83" i="8"/>
  <c r="CX83" i="8"/>
  <c r="DE82" i="8"/>
  <c r="DD82" i="8"/>
  <c r="DC82" i="8"/>
  <c r="DB82" i="8"/>
  <c r="DA82" i="8"/>
  <c r="CZ82" i="8"/>
  <c r="CY82" i="8"/>
  <c r="CX82" i="8"/>
  <c r="DE81" i="8"/>
  <c r="DD81" i="8"/>
  <c r="DC81" i="8"/>
  <c r="DB81" i="8"/>
  <c r="DA81" i="8"/>
  <c r="CZ81" i="8"/>
  <c r="CY81" i="8"/>
  <c r="CX81" i="8"/>
  <c r="DE80" i="8"/>
  <c r="DD80" i="8"/>
  <c r="DC80" i="8"/>
  <c r="DB80" i="8"/>
  <c r="DA80" i="8"/>
  <c r="CZ80" i="8"/>
  <c r="CY80" i="8"/>
  <c r="CX80" i="8"/>
  <c r="DE79" i="8"/>
  <c r="DD79" i="8"/>
  <c r="DC79" i="8"/>
  <c r="DB79" i="8"/>
  <c r="DA79" i="8"/>
  <c r="CZ79" i="8"/>
  <c r="CY79" i="8"/>
  <c r="CX79" i="8"/>
  <c r="DE78" i="8"/>
  <c r="DD78" i="8"/>
  <c r="DC78" i="8"/>
  <c r="DB78" i="8"/>
  <c r="DA78" i="8"/>
  <c r="CZ78" i="8"/>
  <c r="CY78" i="8"/>
  <c r="CX78" i="8"/>
  <c r="DE77" i="8"/>
  <c r="DD77" i="8"/>
  <c r="DC77" i="8"/>
  <c r="DB77" i="8"/>
  <c r="DA77" i="8"/>
  <c r="CZ77" i="8"/>
  <c r="CY77" i="8"/>
  <c r="CX77" i="8"/>
  <c r="DE76" i="8"/>
  <c r="DD76" i="8"/>
  <c r="DC76" i="8"/>
  <c r="DB76" i="8"/>
  <c r="DA76" i="8"/>
  <c r="CZ76" i="8"/>
  <c r="CY76" i="8"/>
  <c r="CX76" i="8"/>
  <c r="DE75" i="8"/>
  <c r="DD75" i="8"/>
  <c r="DC75" i="8"/>
  <c r="DB75" i="8"/>
  <c r="DA75" i="8"/>
  <c r="CZ75" i="8"/>
  <c r="CY75" i="8"/>
  <c r="CX75" i="8"/>
  <c r="DE74" i="8"/>
  <c r="DD74" i="8"/>
  <c r="DC74" i="8"/>
  <c r="DB74" i="8"/>
  <c r="DA74" i="8"/>
  <c r="CZ74" i="8"/>
  <c r="CY74" i="8"/>
  <c r="CX74" i="8"/>
  <c r="DE73" i="8"/>
  <c r="DD73" i="8"/>
  <c r="DC73" i="8"/>
  <c r="DB73" i="8"/>
  <c r="DA73" i="8"/>
  <c r="CZ73" i="8"/>
  <c r="CY73" i="8"/>
  <c r="CX73" i="8"/>
  <c r="DE72" i="8"/>
  <c r="DD72" i="8"/>
  <c r="DC72" i="8"/>
  <c r="DB72" i="8"/>
  <c r="DA72" i="8"/>
  <c r="CZ72" i="8"/>
  <c r="CY72" i="8"/>
  <c r="CX72" i="8"/>
  <c r="DE71" i="8"/>
  <c r="DD71" i="8"/>
  <c r="DC71" i="8"/>
  <c r="DB71" i="8"/>
  <c r="DA71" i="8"/>
  <c r="CZ71" i="8"/>
  <c r="CY71" i="8"/>
  <c r="CX71" i="8"/>
  <c r="DE70" i="8"/>
  <c r="DD70" i="8"/>
  <c r="DC70" i="8"/>
  <c r="DB70" i="8"/>
  <c r="DA70" i="8"/>
  <c r="CZ70" i="8"/>
  <c r="CY70" i="8"/>
  <c r="CX70" i="8"/>
  <c r="DE69" i="8"/>
  <c r="DD69" i="8"/>
  <c r="DC69" i="8"/>
  <c r="DB69" i="8"/>
  <c r="DA69" i="8"/>
  <c r="CZ69" i="8"/>
  <c r="CY69" i="8"/>
  <c r="CX69" i="8"/>
  <c r="DE68" i="8"/>
  <c r="DD68" i="8"/>
  <c r="DC68" i="8"/>
  <c r="DB68" i="8"/>
  <c r="DA68" i="8"/>
  <c r="CZ68" i="8"/>
  <c r="CY68" i="8"/>
  <c r="CX68" i="8"/>
  <c r="DE67" i="8"/>
  <c r="DD67" i="8"/>
  <c r="DC67" i="8"/>
  <c r="DB67" i="8"/>
  <c r="DA67" i="8"/>
  <c r="CZ67" i="8"/>
  <c r="CY67" i="8"/>
  <c r="CX67" i="8"/>
  <c r="DE66" i="8"/>
  <c r="DD66" i="8"/>
  <c r="DC66" i="8"/>
  <c r="DB66" i="8"/>
  <c r="DA66" i="8"/>
  <c r="CZ66" i="8"/>
  <c r="CY66" i="8"/>
  <c r="CX66" i="8"/>
  <c r="DE65" i="8"/>
  <c r="DD65" i="8"/>
  <c r="DC65" i="8"/>
  <c r="DB65" i="8"/>
  <c r="DA65" i="8"/>
  <c r="CZ65" i="8"/>
  <c r="CY65" i="8"/>
  <c r="CX65" i="8"/>
  <c r="DE64" i="8"/>
  <c r="DD64" i="8"/>
  <c r="DC64" i="8"/>
  <c r="DB64" i="8"/>
  <c r="DA64" i="8"/>
  <c r="CZ64" i="8"/>
  <c r="CY64" i="8"/>
  <c r="CX64" i="8"/>
  <c r="DE63" i="8"/>
  <c r="DD63" i="8"/>
  <c r="DC63" i="8"/>
  <c r="DB63" i="8"/>
  <c r="DA63" i="8"/>
  <c r="CZ63" i="8"/>
  <c r="CY63" i="8"/>
  <c r="CX63" i="8"/>
  <c r="DE62" i="8"/>
  <c r="DD62" i="8"/>
  <c r="DC62" i="8"/>
  <c r="DB62" i="8"/>
  <c r="DA62" i="8"/>
  <c r="CZ62" i="8"/>
  <c r="CY62" i="8"/>
  <c r="CX62" i="8"/>
  <c r="DE61" i="8"/>
  <c r="DD61" i="8"/>
  <c r="DC61" i="8"/>
  <c r="DB61" i="8"/>
  <c r="DA61" i="8"/>
  <c r="CZ61" i="8"/>
  <c r="CY61" i="8"/>
  <c r="CX61" i="8"/>
  <c r="DE60" i="8"/>
  <c r="DD60" i="8"/>
  <c r="DC60" i="8"/>
  <c r="DB60" i="8"/>
  <c r="DA60" i="8"/>
  <c r="CZ60" i="8"/>
  <c r="CY60" i="8"/>
  <c r="CX60" i="8"/>
  <c r="DE59" i="8"/>
  <c r="DD59" i="8"/>
  <c r="DC59" i="8"/>
  <c r="DB59" i="8"/>
  <c r="DA59" i="8"/>
  <c r="CZ59" i="8"/>
  <c r="CY59" i="8"/>
  <c r="CX59" i="8"/>
  <c r="DE58" i="8"/>
  <c r="DD58" i="8"/>
  <c r="DC58" i="8"/>
  <c r="DB58" i="8"/>
  <c r="DA58" i="8"/>
  <c r="CZ58" i="8"/>
  <c r="CY58" i="8"/>
  <c r="CX58" i="8"/>
  <c r="DE57" i="8"/>
  <c r="DD57" i="8"/>
  <c r="DC57" i="8"/>
  <c r="DB57" i="8"/>
  <c r="DA57" i="8"/>
  <c r="CZ57" i="8"/>
  <c r="CY57" i="8"/>
  <c r="CX57" i="8"/>
  <c r="DE56" i="8"/>
  <c r="DD56" i="8"/>
  <c r="DC56" i="8"/>
  <c r="DB56" i="8"/>
  <c r="DA56" i="8"/>
  <c r="CZ56" i="8"/>
  <c r="CY56" i="8"/>
  <c r="CX56" i="8"/>
  <c r="DE55" i="8"/>
  <c r="DD55" i="8"/>
  <c r="DC55" i="8"/>
  <c r="DB55" i="8"/>
  <c r="DA55" i="8"/>
  <c r="CZ55" i="8"/>
  <c r="CY55" i="8"/>
  <c r="CX55" i="8"/>
  <c r="DE54" i="8"/>
  <c r="DD54" i="8"/>
  <c r="DC54" i="8"/>
  <c r="DB54" i="8"/>
  <c r="DA54" i="8"/>
  <c r="CZ54" i="8"/>
  <c r="CY54" i="8"/>
  <c r="CX54" i="8"/>
  <c r="DE53" i="8"/>
  <c r="DD53" i="8"/>
  <c r="DC53" i="8"/>
  <c r="DB53" i="8"/>
  <c r="DA53" i="8"/>
  <c r="CZ53" i="8"/>
  <c r="CY53" i="8"/>
  <c r="CX53" i="8"/>
  <c r="DE52" i="8"/>
  <c r="DD52" i="8"/>
  <c r="DC52" i="8"/>
  <c r="DB52" i="8"/>
  <c r="DA52" i="8"/>
  <c r="CZ52" i="8"/>
  <c r="CY52" i="8"/>
  <c r="CX52" i="8"/>
  <c r="DE51" i="8"/>
  <c r="DD51" i="8"/>
  <c r="DC51" i="8"/>
  <c r="DB51" i="8"/>
  <c r="DA51" i="8"/>
  <c r="CZ51" i="8"/>
  <c r="CY51" i="8"/>
  <c r="CX51" i="8"/>
  <c r="DE50" i="8"/>
  <c r="DD50" i="8"/>
  <c r="DC50" i="8"/>
  <c r="DB50" i="8"/>
  <c r="DA50" i="8"/>
  <c r="CZ50" i="8"/>
  <c r="CY50" i="8"/>
  <c r="CX50" i="8"/>
  <c r="DE49" i="8"/>
  <c r="DD49" i="8"/>
  <c r="DC49" i="8"/>
  <c r="DB49" i="8"/>
  <c r="DA49" i="8"/>
  <c r="CZ49" i="8"/>
  <c r="CY49" i="8"/>
  <c r="CX49" i="8"/>
  <c r="DE48" i="8"/>
  <c r="DD48" i="8"/>
  <c r="DC48" i="8"/>
  <c r="DB48" i="8"/>
  <c r="DA48" i="8"/>
  <c r="CZ48" i="8"/>
  <c r="CY48" i="8"/>
  <c r="CX48" i="8"/>
  <c r="DE47" i="8"/>
  <c r="DD47" i="8"/>
  <c r="DC47" i="8"/>
  <c r="DB47" i="8"/>
  <c r="DA47" i="8"/>
  <c r="CZ47" i="8"/>
  <c r="CY47" i="8"/>
  <c r="CX47" i="8"/>
  <c r="DE46" i="8"/>
  <c r="DD46" i="8"/>
  <c r="DC46" i="8"/>
  <c r="DB46" i="8"/>
  <c r="DA46" i="8"/>
  <c r="CZ46" i="8"/>
  <c r="CY46" i="8"/>
  <c r="CX46" i="8"/>
  <c r="DE45" i="8"/>
  <c r="DD45" i="8"/>
  <c r="DC45" i="8"/>
  <c r="DB45" i="8"/>
  <c r="DA45" i="8"/>
  <c r="CZ45" i="8"/>
  <c r="CY45" i="8"/>
  <c r="CX45" i="8"/>
  <c r="DE44" i="8"/>
  <c r="DD44" i="8"/>
  <c r="DC44" i="8"/>
  <c r="DB44" i="8"/>
  <c r="DA44" i="8"/>
  <c r="CZ44" i="8"/>
  <c r="CY44" i="8"/>
  <c r="CX44" i="8"/>
  <c r="DE43" i="8"/>
  <c r="DD43" i="8"/>
  <c r="DC43" i="8"/>
  <c r="DB43" i="8"/>
  <c r="DA43" i="8"/>
  <c r="CZ43" i="8"/>
  <c r="CY43" i="8"/>
  <c r="CX43" i="8"/>
  <c r="DE42" i="8"/>
  <c r="DD42" i="8"/>
  <c r="DC42" i="8"/>
  <c r="DB42" i="8"/>
  <c r="DA42" i="8"/>
  <c r="CZ42" i="8"/>
  <c r="CY42" i="8"/>
  <c r="CX42" i="8"/>
  <c r="DE41" i="8"/>
  <c r="DD41" i="8"/>
  <c r="DC41" i="8"/>
  <c r="DB41" i="8"/>
  <c r="DA41" i="8"/>
  <c r="CZ41" i="8"/>
  <c r="CY41" i="8"/>
  <c r="CX41" i="8"/>
  <c r="DE40" i="8"/>
  <c r="DD40" i="8"/>
  <c r="DC40" i="8"/>
  <c r="DB40" i="8"/>
  <c r="DA40" i="8"/>
  <c r="CZ40" i="8"/>
  <c r="CY40" i="8"/>
  <c r="CX40" i="8"/>
  <c r="DE39" i="8"/>
  <c r="DD39" i="8"/>
  <c r="DC39" i="8"/>
  <c r="DB39" i="8"/>
  <c r="DA39" i="8"/>
  <c r="CZ39" i="8"/>
  <c r="CY39" i="8"/>
  <c r="CX39" i="8"/>
  <c r="DE38" i="8"/>
  <c r="DD38" i="8"/>
  <c r="DC38" i="8"/>
  <c r="DB38" i="8"/>
  <c r="DA38" i="8"/>
  <c r="CZ38" i="8"/>
  <c r="CY38" i="8"/>
  <c r="CX38" i="8"/>
  <c r="DE37" i="8"/>
  <c r="DD37" i="8"/>
  <c r="DC37" i="8"/>
  <c r="DB37" i="8"/>
  <c r="DA37" i="8"/>
  <c r="CZ37" i="8"/>
  <c r="CY37" i="8"/>
  <c r="CX37" i="8"/>
  <c r="DE36" i="8"/>
  <c r="DD36" i="8"/>
  <c r="DC36" i="8"/>
  <c r="DB36" i="8"/>
  <c r="DA36" i="8"/>
  <c r="CZ36" i="8"/>
  <c r="CY36" i="8"/>
  <c r="CX36" i="8"/>
  <c r="DE35" i="8"/>
  <c r="DD35" i="8"/>
  <c r="DC35" i="8"/>
  <c r="DB35" i="8"/>
  <c r="DA35" i="8"/>
  <c r="CZ35" i="8"/>
  <c r="CY35" i="8"/>
  <c r="CX35" i="8"/>
  <c r="DE34" i="8"/>
  <c r="DD34" i="8"/>
  <c r="DC34" i="8"/>
  <c r="DB34" i="8"/>
  <c r="DA34" i="8"/>
  <c r="CZ34" i="8"/>
  <c r="CY34" i="8"/>
  <c r="CX34" i="8"/>
  <c r="DE33" i="8"/>
  <c r="DD33" i="8"/>
  <c r="DC33" i="8"/>
  <c r="DB33" i="8"/>
  <c r="DA33" i="8"/>
  <c r="CZ33" i="8"/>
  <c r="CY33" i="8"/>
  <c r="CX33" i="8"/>
  <c r="DE32" i="8"/>
  <c r="DD32" i="8"/>
  <c r="DC32" i="8"/>
  <c r="DB32" i="8"/>
  <c r="DA32" i="8"/>
  <c r="CZ32" i="8"/>
  <c r="CY32" i="8"/>
  <c r="CX32" i="8"/>
  <c r="DE31" i="8"/>
  <c r="DD31" i="8"/>
  <c r="DC31" i="8"/>
  <c r="DB31" i="8"/>
  <c r="DA31" i="8"/>
  <c r="CZ31" i="8"/>
  <c r="CY31" i="8"/>
  <c r="CX31" i="8"/>
  <c r="DE30" i="8"/>
  <c r="DD30" i="8"/>
  <c r="DC30" i="8"/>
  <c r="DB30" i="8"/>
  <c r="DA30" i="8"/>
  <c r="CZ30" i="8"/>
  <c r="CY30" i="8"/>
  <c r="CX30" i="8"/>
  <c r="DE29" i="8"/>
  <c r="DD29" i="8"/>
  <c r="DC29" i="8"/>
  <c r="DB29" i="8"/>
  <c r="DA29" i="8"/>
  <c r="CZ29" i="8"/>
  <c r="CY29" i="8"/>
  <c r="CX29" i="8"/>
  <c r="DE28" i="8"/>
  <c r="DD28" i="8"/>
  <c r="DC28" i="8"/>
  <c r="DB28" i="8"/>
  <c r="DA28" i="8"/>
  <c r="CZ28" i="8"/>
  <c r="CY28" i="8"/>
  <c r="CX28" i="8"/>
  <c r="DE27" i="8"/>
  <c r="DD27" i="8"/>
  <c r="DC27" i="8"/>
  <c r="DB27" i="8"/>
  <c r="DA27" i="8"/>
  <c r="CZ27" i="8"/>
  <c r="CY27" i="8"/>
  <c r="CX27" i="8"/>
  <c r="DE26" i="8"/>
  <c r="DD26" i="8"/>
  <c r="DC26" i="8"/>
  <c r="DB26" i="8"/>
  <c r="DA26" i="8"/>
  <c r="CZ26" i="8"/>
  <c r="CY26" i="8"/>
  <c r="CX26" i="8"/>
  <c r="DE25" i="8"/>
  <c r="DD25" i="8"/>
  <c r="DC25" i="8"/>
  <c r="DB25" i="8"/>
  <c r="DA25" i="8"/>
  <c r="CZ25" i="8"/>
  <c r="CY25" i="8"/>
  <c r="CX25" i="8"/>
  <c r="DE24" i="8"/>
  <c r="DD24" i="8"/>
  <c r="DC24" i="8"/>
  <c r="DB24" i="8"/>
  <c r="DA24" i="8"/>
  <c r="CZ24" i="8"/>
  <c r="CY24" i="8"/>
  <c r="CX24" i="8"/>
  <c r="DE23" i="8"/>
  <c r="DD23" i="8"/>
  <c r="DC23" i="8"/>
  <c r="DB23" i="8"/>
  <c r="DA23" i="8"/>
  <c r="CZ23" i="8"/>
  <c r="CY23" i="8"/>
  <c r="CX23" i="8"/>
  <c r="DE22" i="8"/>
  <c r="DD22" i="8"/>
  <c r="DC22" i="8"/>
  <c r="DB22" i="8"/>
  <c r="DA22" i="8"/>
  <c r="CZ22" i="8"/>
  <c r="CY22" i="8"/>
  <c r="CX22" i="8"/>
  <c r="DE21" i="8"/>
  <c r="DD21" i="8"/>
  <c r="DC21" i="8"/>
  <c r="DB21" i="8"/>
  <c r="DA21" i="8"/>
  <c r="CZ21" i="8"/>
  <c r="CY21" i="8"/>
  <c r="CX21" i="8"/>
  <c r="DE20" i="8"/>
  <c r="DD20" i="8"/>
  <c r="DC20" i="8"/>
  <c r="DB20" i="8"/>
  <c r="DA20" i="8"/>
  <c r="CZ20" i="8"/>
  <c r="CY20" i="8"/>
  <c r="CX20" i="8"/>
  <c r="DE19" i="8"/>
  <c r="DD19" i="8"/>
  <c r="DC19" i="8"/>
  <c r="DB19" i="8"/>
  <c r="DA19" i="8"/>
  <c r="CZ19" i="8"/>
  <c r="CY19" i="8"/>
  <c r="CX19" i="8"/>
  <c r="DE18" i="8"/>
  <c r="DD18" i="8"/>
  <c r="DC18" i="8"/>
  <c r="DB18" i="8"/>
  <c r="DA18" i="8"/>
  <c r="CZ18" i="8"/>
  <c r="CY18" i="8"/>
  <c r="CX18" i="8"/>
  <c r="DE17" i="8"/>
  <c r="DD17" i="8"/>
  <c r="DC17" i="8"/>
  <c r="DB17" i="8"/>
  <c r="DA17" i="8"/>
  <c r="CZ17" i="8"/>
  <c r="CY17" i="8"/>
  <c r="CX17" i="8"/>
  <c r="DE16" i="8"/>
  <c r="DD16" i="8"/>
  <c r="DC16" i="8"/>
  <c r="DB16" i="8"/>
  <c r="DA16" i="8"/>
  <c r="CZ16" i="8"/>
  <c r="CY16" i="8"/>
  <c r="CX16" i="8"/>
  <c r="DE15" i="8"/>
  <c r="DD15" i="8"/>
  <c r="DC15" i="8"/>
  <c r="DB15" i="8"/>
  <c r="DA15" i="8"/>
  <c r="CZ15" i="8"/>
  <c r="CY15" i="8"/>
  <c r="CX15" i="8"/>
  <c r="DE14" i="8"/>
  <c r="DD14" i="8"/>
  <c r="DC14" i="8"/>
  <c r="DB14" i="8"/>
  <c r="DA14" i="8"/>
  <c r="CZ14" i="8"/>
  <c r="CY14" i="8"/>
  <c r="CX14" i="8"/>
  <c r="DE13" i="8"/>
  <c r="DD13" i="8"/>
  <c r="DC13" i="8"/>
  <c r="DB13" i="8"/>
  <c r="DA13" i="8"/>
  <c r="CZ13" i="8"/>
  <c r="CY13" i="8"/>
  <c r="CX13" i="8"/>
  <c r="DE12" i="8"/>
  <c r="DD12" i="8"/>
  <c r="DC12" i="8"/>
  <c r="DB12" i="8"/>
  <c r="DA12" i="8"/>
  <c r="CZ12" i="8"/>
  <c r="CY12" i="8"/>
  <c r="CX12" i="8"/>
  <c r="DE11" i="8"/>
  <c r="DD11" i="8"/>
  <c r="DC11" i="8"/>
  <c r="DB11" i="8"/>
  <c r="DA11" i="8"/>
  <c r="CZ11" i="8"/>
  <c r="CY11" i="8"/>
  <c r="CX11" i="8"/>
  <c r="DE10" i="8"/>
  <c r="DD10" i="8"/>
  <c r="DC10" i="8"/>
  <c r="DB10" i="8"/>
  <c r="DA10" i="8"/>
  <c r="CZ10" i="8"/>
  <c r="CY10" i="8"/>
  <c r="CX10" i="8"/>
  <c r="DE9" i="8"/>
  <c r="DD9" i="8"/>
  <c r="DC9" i="8"/>
  <c r="DB9" i="8"/>
  <c r="DA9" i="8"/>
  <c r="CZ9" i="8"/>
  <c r="CY9" i="8"/>
  <c r="DE8" i="8"/>
  <c r="DD8" i="8"/>
  <c r="DC8" i="8"/>
  <c r="DB8" i="8"/>
  <c r="DA8" i="8"/>
  <c r="CZ8" i="8"/>
  <c r="CY8" i="8"/>
  <c r="CX8" i="8"/>
  <c r="DE7" i="8"/>
  <c r="DD7" i="8"/>
  <c r="DC7" i="8"/>
  <c r="DB7" i="8"/>
  <c r="DA7" i="8"/>
  <c r="CZ7" i="8"/>
  <c r="CY7" i="8"/>
  <c r="CX7" i="8"/>
  <c r="DE6" i="8"/>
  <c r="DD6" i="8"/>
  <c r="DC6" i="8"/>
  <c r="DB6" i="8"/>
  <c r="DA6" i="8"/>
  <c r="CZ6" i="8"/>
  <c r="CY6" i="8"/>
  <c r="CX6" i="8"/>
  <c r="DE5" i="8"/>
  <c r="DD5" i="8"/>
  <c r="DC5" i="8"/>
  <c r="DB5" i="8"/>
  <c r="DA5" i="8"/>
  <c r="CZ5" i="8"/>
  <c r="CY5" i="8"/>
  <c r="CX5" i="8"/>
  <c r="DE4" i="8"/>
  <c r="DD4" i="8"/>
  <c r="DC4" i="8"/>
  <c r="DB4" i="8"/>
  <c r="DA4" i="8"/>
  <c r="CZ4" i="8"/>
  <c r="CY4" i="8"/>
  <c r="CX4" i="8"/>
  <c r="DE3" i="8"/>
  <c r="DD3" i="8"/>
  <c r="DC3" i="8"/>
  <c r="DB3" i="8"/>
  <c r="DA3" i="8"/>
  <c r="CZ3" i="8"/>
  <c r="CY3" i="8"/>
  <c r="CX3" i="8"/>
  <c r="DF9" i="8"/>
  <c r="DF6" i="8"/>
  <c r="DF7" i="8"/>
  <c r="DF5" i="8"/>
  <c r="DF4" i="8"/>
  <c r="DF499" i="8"/>
  <c r="DF498" i="8"/>
  <c r="DF497" i="8"/>
  <c r="DF496" i="8"/>
  <c r="DF495" i="8"/>
  <c r="DF494" i="8"/>
  <c r="DF493" i="8"/>
  <c r="DF492" i="8"/>
  <c r="DF491" i="8"/>
  <c r="DF490" i="8"/>
  <c r="DF489" i="8"/>
  <c r="DF488" i="8"/>
  <c r="DF487" i="8"/>
  <c r="DF486" i="8"/>
  <c r="DF485" i="8"/>
  <c r="DF484" i="8"/>
  <c r="DF483" i="8"/>
  <c r="DF482" i="8"/>
  <c r="DF481" i="8"/>
  <c r="DF480" i="8"/>
  <c r="DF479" i="8"/>
  <c r="DF478" i="8"/>
  <c r="DF477" i="8"/>
  <c r="DF476" i="8"/>
  <c r="DF475" i="8"/>
  <c r="DF474" i="8"/>
  <c r="DF473" i="8"/>
  <c r="DF472" i="8"/>
  <c r="DF471" i="8"/>
  <c r="DF470" i="8"/>
  <c r="DF469" i="8"/>
  <c r="DF468" i="8"/>
  <c r="DF467" i="8"/>
  <c r="DF466" i="8"/>
  <c r="DF465" i="8"/>
  <c r="DF464" i="8"/>
  <c r="DF463" i="8"/>
  <c r="DF462" i="8"/>
  <c r="DF461" i="8"/>
  <c r="DF460" i="8"/>
  <c r="DF459" i="8"/>
  <c r="DF458" i="8"/>
  <c r="DF457" i="8"/>
  <c r="DF456" i="8"/>
  <c r="DF455" i="8"/>
  <c r="DF454" i="8"/>
  <c r="DF453" i="8"/>
  <c r="DF452" i="8"/>
  <c r="DF451" i="8"/>
  <c r="DF450" i="8"/>
  <c r="DF449" i="8"/>
  <c r="DF448" i="8"/>
  <c r="DF447" i="8"/>
  <c r="DF446" i="8"/>
  <c r="DF445" i="8"/>
  <c r="DF444" i="8"/>
  <c r="DF443" i="8"/>
  <c r="DF442" i="8"/>
  <c r="DF441" i="8"/>
  <c r="DF440" i="8"/>
  <c r="DF439" i="8"/>
  <c r="DF438" i="8"/>
  <c r="DF437" i="8"/>
  <c r="DF436" i="8"/>
  <c r="DF435" i="8"/>
  <c r="DF434" i="8"/>
  <c r="DF433" i="8"/>
  <c r="DF432" i="8"/>
  <c r="DF431" i="8"/>
  <c r="DF430" i="8"/>
  <c r="DF429" i="8"/>
  <c r="DF428" i="8"/>
  <c r="DF427" i="8"/>
  <c r="DF426" i="8"/>
  <c r="DF425" i="8"/>
  <c r="DF424" i="8"/>
  <c r="DF423" i="8"/>
  <c r="DF422" i="8"/>
  <c r="DF421" i="8"/>
  <c r="DF420" i="8"/>
  <c r="DF419" i="8"/>
  <c r="DF418" i="8"/>
  <c r="DF417" i="8"/>
  <c r="DF416" i="8"/>
  <c r="DF415" i="8"/>
  <c r="DF414" i="8"/>
  <c r="DF413" i="8"/>
  <c r="DF412" i="8"/>
  <c r="DF411" i="8"/>
  <c r="DF410" i="8"/>
  <c r="DF409" i="8"/>
  <c r="DF408" i="8"/>
  <c r="DF407" i="8"/>
  <c r="DF406" i="8"/>
  <c r="DF405" i="8"/>
  <c r="DF404" i="8"/>
  <c r="DF403" i="8"/>
  <c r="DF402" i="8"/>
  <c r="DF401" i="8"/>
  <c r="DF400" i="8"/>
  <c r="DF399" i="8"/>
  <c r="DF398" i="8"/>
  <c r="DF397" i="8"/>
  <c r="DF396" i="8"/>
  <c r="DF395" i="8"/>
  <c r="DF394" i="8"/>
  <c r="DF393" i="8"/>
  <c r="DF392" i="8"/>
  <c r="DF391" i="8"/>
  <c r="DF390" i="8"/>
  <c r="DF389" i="8"/>
  <c r="DF388" i="8"/>
  <c r="DF387" i="8"/>
  <c r="DF386" i="8"/>
  <c r="DF385" i="8"/>
  <c r="DF384" i="8"/>
  <c r="DF383" i="8"/>
  <c r="DF382" i="8"/>
  <c r="DF381" i="8"/>
  <c r="DF380" i="8"/>
  <c r="DF379" i="8"/>
  <c r="DF378" i="8"/>
  <c r="DF377" i="8"/>
  <c r="DF376" i="8"/>
  <c r="DF375" i="8"/>
  <c r="DF374" i="8"/>
  <c r="DF373" i="8"/>
  <c r="DF372" i="8"/>
  <c r="DF371" i="8"/>
  <c r="DF370" i="8"/>
  <c r="DF369" i="8"/>
  <c r="DF368" i="8"/>
  <c r="DF367" i="8"/>
  <c r="DF366" i="8"/>
  <c r="DF365" i="8"/>
  <c r="DF364" i="8"/>
  <c r="DF363" i="8"/>
  <c r="DF362" i="8"/>
  <c r="DF361" i="8"/>
  <c r="DF360" i="8"/>
  <c r="DF359" i="8"/>
  <c r="DF358" i="8"/>
  <c r="DF357" i="8"/>
  <c r="DF356" i="8"/>
  <c r="DF355" i="8"/>
  <c r="DF354" i="8"/>
  <c r="DF353" i="8"/>
  <c r="DF352" i="8"/>
  <c r="DF351" i="8"/>
  <c r="DF350" i="8"/>
  <c r="DF349" i="8"/>
  <c r="DF348" i="8"/>
  <c r="DF347" i="8"/>
  <c r="DF346" i="8"/>
  <c r="DF345" i="8"/>
  <c r="DF344" i="8"/>
  <c r="DF343" i="8"/>
  <c r="DF342" i="8"/>
  <c r="DF341" i="8"/>
  <c r="DF340" i="8"/>
  <c r="DF339" i="8"/>
  <c r="DF338" i="8"/>
  <c r="DF337" i="8"/>
  <c r="DF336" i="8"/>
  <c r="DF335" i="8"/>
  <c r="DF334" i="8"/>
  <c r="DF333" i="8"/>
  <c r="DF332" i="8"/>
  <c r="DF331" i="8"/>
  <c r="DF330" i="8"/>
  <c r="DF329" i="8"/>
  <c r="DF328" i="8"/>
  <c r="DF327" i="8"/>
  <c r="DF326" i="8"/>
  <c r="DF325" i="8"/>
  <c r="DF324" i="8"/>
  <c r="DF323" i="8"/>
  <c r="DF322" i="8"/>
  <c r="DF321" i="8"/>
  <c r="DF320" i="8"/>
  <c r="DF319" i="8"/>
  <c r="DF318" i="8"/>
  <c r="DF317" i="8"/>
  <c r="DF316" i="8"/>
  <c r="DF315" i="8"/>
  <c r="DF314" i="8"/>
  <c r="DF313" i="8"/>
  <c r="DF312" i="8"/>
  <c r="DF311" i="8"/>
  <c r="DF310" i="8"/>
  <c r="DF309" i="8"/>
  <c r="DF308" i="8"/>
  <c r="DF307" i="8"/>
  <c r="DF306" i="8"/>
  <c r="DF305" i="8"/>
  <c r="DF304" i="8"/>
  <c r="DF303" i="8"/>
  <c r="DF302" i="8"/>
  <c r="DF301" i="8"/>
  <c r="DF300" i="8"/>
  <c r="DF299" i="8"/>
  <c r="DF298" i="8"/>
  <c r="DF297" i="8"/>
  <c r="DF296" i="8"/>
  <c r="DF295" i="8"/>
  <c r="DF294" i="8"/>
  <c r="DF293" i="8"/>
  <c r="DF292" i="8"/>
  <c r="DF291" i="8"/>
  <c r="DF290" i="8"/>
  <c r="DF289" i="8"/>
  <c r="DF288" i="8"/>
  <c r="DF287" i="8"/>
  <c r="DF286" i="8"/>
  <c r="DF285" i="8"/>
  <c r="DF284" i="8"/>
  <c r="DF283" i="8"/>
  <c r="DF282" i="8"/>
  <c r="DF281" i="8"/>
  <c r="DF280" i="8"/>
  <c r="DF279" i="8"/>
  <c r="DF278" i="8"/>
  <c r="DF277" i="8"/>
  <c r="DF276" i="8"/>
  <c r="DF275" i="8"/>
  <c r="DF274" i="8"/>
  <c r="DF273" i="8"/>
  <c r="DF272" i="8"/>
  <c r="DF271" i="8"/>
  <c r="DF270" i="8"/>
  <c r="DF269" i="8"/>
  <c r="DF268" i="8"/>
  <c r="DF267" i="8"/>
  <c r="DF266" i="8"/>
  <c r="DF265" i="8"/>
  <c r="DF264" i="8"/>
  <c r="DF263" i="8"/>
  <c r="DF262" i="8"/>
  <c r="DF261" i="8"/>
  <c r="DF260" i="8"/>
  <c r="DF259" i="8"/>
  <c r="DF258" i="8"/>
  <c r="DF257" i="8"/>
  <c r="DF256" i="8"/>
  <c r="DF255" i="8"/>
  <c r="DF254" i="8"/>
  <c r="DF253" i="8"/>
  <c r="DF252" i="8"/>
  <c r="DF251" i="8"/>
  <c r="DF250" i="8"/>
  <c r="DF249" i="8"/>
  <c r="DF248" i="8"/>
  <c r="DF247" i="8"/>
  <c r="DF246" i="8"/>
  <c r="DF245" i="8"/>
  <c r="DF244" i="8"/>
  <c r="DF243" i="8"/>
  <c r="DF242" i="8"/>
  <c r="DF241" i="8"/>
  <c r="DF240" i="8"/>
  <c r="DF239" i="8"/>
  <c r="DF238" i="8"/>
  <c r="DF237" i="8"/>
  <c r="DF236" i="8"/>
  <c r="DF235" i="8"/>
  <c r="DF234" i="8"/>
  <c r="DF233" i="8"/>
  <c r="DF232" i="8"/>
  <c r="DF231" i="8"/>
  <c r="DF230" i="8"/>
  <c r="DF229" i="8"/>
  <c r="DF228" i="8"/>
  <c r="DF227" i="8"/>
  <c r="DF226" i="8"/>
  <c r="DF225" i="8"/>
  <c r="DF224" i="8"/>
  <c r="DF223" i="8"/>
  <c r="DF222" i="8"/>
  <c r="DF221" i="8"/>
  <c r="DF220" i="8"/>
  <c r="DF219" i="8"/>
  <c r="DF218" i="8"/>
  <c r="DF217" i="8"/>
  <c r="DF216" i="8"/>
  <c r="DF215" i="8"/>
  <c r="DF214" i="8"/>
  <c r="DF213" i="8"/>
  <c r="DF212" i="8"/>
  <c r="DF211" i="8"/>
  <c r="DF210" i="8"/>
  <c r="DF209" i="8"/>
  <c r="DF208" i="8"/>
  <c r="DF207" i="8"/>
  <c r="DF206" i="8"/>
  <c r="DF205" i="8"/>
  <c r="DF204" i="8"/>
  <c r="DF203" i="8"/>
  <c r="DF202" i="8"/>
  <c r="DF201" i="8"/>
  <c r="DF200" i="8"/>
  <c r="DF199" i="8"/>
  <c r="DF198" i="8"/>
  <c r="DF197" i="8"/>
  <c r="DF196" i="8"/>
  <c r="DF195" i="8"/>
  <c r="DF194" i="8"/>
  <c r="DF193" i="8"/>
  <c r="DF192" i="8"/>
  <c r="DF191" i="8"/>
  <c r="DF190" i="8"/>
  <c r="DF189" i="8"/>
  <c r="DF188" i="8"/>
  <c r="DF187" i="8"/>
  <c r="DF186" i="8"/>
  <c r="DF185" i="8"/>
  <c r="DF184" i="8"/>
  <c r="DF183" i="8"/>
  <c r="DF182" i="8"/>
  <c r="DF181" i="8"/>
  <c r="DF180" i="8"/>
  <c r="DF179" i="8"/>
  <c r="DF178" i="8"/>
  <c r="DF177" i="8"/>
  <c r="DF176" i="8"/>
  <c r="DF175" i="8"/>
  <c r="DF174" i="8"/>
  <c r="DF173" i="8"/>
  <c r="DF172" i="8"/>
  <c r="DF171" i="8"/>
  <c r="DF170" i="8"/>
  <c r="DF169" i="8"/>
  <c r="DF168" i="8"/>
  <c r="DF167" i="8"/>
  <c r="DF166" i="8"/>
  <c r="DF165" i="8"/>
  <c r="DF164" i="8"/>
  <c r="DF163" i="8"/>
  <c r="DF162" i="8"/>
  <c r="DF161" i="8"/>
  <c r="DF160" i="8"/>
  <c r="DF159" i="8"/>
  <c r="DF158" i="8"/>
  <c r="DF157" i="8"/>
  <c r="DF156" i="8"/>
  <c r="DF155" i="8"/>
  <c r="DF154" i="8"/>
  <c r="DF153" i="8"/>
  <c r="DF152" i="8"/>
  <c r="DF151" i="8"/>
  <c r="DF150" i="8"/>
  <c r="DF149" i="8"/>
  <c r="DF148" i="8"/>
  <c r="DF147" i="8"/>
  <c r="DF146" i="8"/>
  <c r="DF145" i="8"/>
  <c r="DF144" i="8"/>
  <c r="DF143" i="8"/>
  <c r="DF142" i="8"/>
  <c r="DF141" i="8"/>
  <c r="DF140" i="8"/>
  <c r="DF139" i="8"/>
  <c r="DF138" i="8"/>
  <c r="DF137" i="8"/>
  <c r="DF136" i="8"/>
  <c r="DF135" i="8"/>
  <c r="DF134" i="8"/>
  <c r="DF133" i="8"/>
  <c r="DF132" i="8"/>
  <c r="DF131" i="8"/>
  <c r="DF130" i="8"/>
  <c r="DF129" i="8"/>
  <c r="DF128" i="8"/>
  <c r="DF127" i="8"/>
  <c r="DF126" i="8"/>
  <c r="DF125" i="8"/>
  <c r="DF124" i="8"/>
  <c r="DF123" i="8"/>
  <c r="DF122" i="8"/>
  <c r="DF121" i="8"/>
  <c r="DF120" i="8"/>
  <c r="DF119" i="8"/>
  <c r="DF118" i="8"/>
  <c r="DF117" i="8"/>
  <c r="DF116" i="8"/>
  <c r="DF115" i="8"/>
  <c r="DF114" i="8"/>
  <c r="DF113" i="8"/>
  <c r="DF112" i="8"/>
  <c r="DF111" i="8"/>
  <c r="DF110" i="8"/>
  <c r="DF109" i="8"/>
  <c r="DF108" i="8"/>
  <c r="DF107" i="8"/>
  <c r="DF106" i="8"/>
  <c r="DF105" i="8"/>
  <c r="DF104" i="8"/>
  <c r="DF103" i="8"/>
  <c r="DF102" i="8"/>
  <c r="DF101" i="8"/>
  <c r="DF100" i="8"/>
  <c r="DF99" i="8"/>
  <c r="DF98" i="8"/>
  <c r="DF97" i="8"/>
  <c r="DF96" i="8"/>
  <c r="DF95" i="8"/>
  <c r="DF94" i="8"/>
  <c r="DF93" i="8"/>
  <c r="DF92" i="8"/>
  <c r="DF91" i="8"/>
  <c r="DF90" i="8"/>
  <c r="DF89" i="8"/>
  <c r="DF88" i="8"/>
  <c r="DF87" i="8"/>
  <c r="DF86" i="8"/>
  <c r="DF85" i="8"/>
  <c r="DF84" i="8"/>
  <c r="DF83" i="8"/>
  <c r="DF82" i="8"/>
  <c r="DF81" i="8"/>
  <c r="DF80" i="8"/>
  <c r="DF79" i="8"/>
  <c r="DF78" i="8"/>
  <c r="DF77" i="8"/>
  <c r="DF76" i="8"/>
  <c r="DF75" i="8"/>
  <c r="DF74" i="8"/>
  <c r="DF73" i="8"/>
  <c r="DF72" i="8"/>
  <c r="DF71" i="8"/>
  <c r="DF70" i="8"/>
  <c r="DF69" i="8"/>
  <c r="DF68" i="8"/>
  <c r="DF67" i="8"/>
  <c r="DF66" i="8"/>
  <c r="DF65" i="8"/>
  <c r="DF64" i="8"/>
  <c r="DF63" i="8"/>
  <c r="DF62" i="8"/>
  <c r="DF61" i="8"/>
  <c r="DF60" i="8"/>
  <c r="DF59" i="8"/>
  <c r="DF58" i="8"/>
  <c r="DF57" i="8"/>
  <c r="DF56" i="8"/>
  <c r="DF55" i="8"/>
  <c r="DF54" i="8"/>
  <c r="DF53" i="8"/>
  <c r="DF52" i="8"/>
  <c r="DF51" i="8"/>
  <c r="DF50" i="8"/>
  <c r="DF49" i="8"/>
  <c r="DF48" i="8"/>
  <c r="DF47" i="8"/>
  <c r="DF46" i="8"/>
  <c r="DF45" i="8"/>
  <c r="DF44" i="8"/>
  <c r="DF43" i="8"/>
  <c r="DF42" i="8"/>
  <c r="K48" i="9" s="1"/>
  <c r="DF41" i="8"/>
  <c r="DF40" i="8"/>
  <c r="DF39" i="8"/>
  <c r="DF38" i="8"/>
  <c r="DF37" i="8"/>
  <c r="DF36" i="8"/>
  <c r="DF35" i="8"/>
  <c r="DF34" i="8"/>
  <c r="DF33" i="8"/>
  <c r="DF32" i="8"/>
  <c r="DF31" i="8"/>
  <c r="DF30" i="8"/>
  <c r="DF29" i="8"/>
  <c r="DF28" i="8"/>
  <c r="DF27" i="8"/>
  <c r="DF26" i="8"/>
  <c r="DF25" i="8"/>
  <c r="DF24" i="8"/>
  <c r="DF23" i="8"/>
  <c r="DF22" i="8"/>
  <c r="DF21" i="8"/>
  <c r="DF20" i="8"/>
  <c r="DF19" i="8"/>
  <c r="DF18" i="8"/>
  <c r="DF17" i="8"/>
  <c r="DF16" i="8"/>
  <c r="DF15" i="8"/>
  <c r="DF14" i="8"/>
  <c r="DF13" i="8"/>
  <c r="DF12" i="8"/>
  <c r="DF11" i="8"/>
  <c r="DF10" i="8"/>
  <c r="DF8" i="8"/>
  <c r="DF3" i="8"/>
  <c r="W10" i="16" l="1" a="1"/>
  <c r="W10" i="16" s="1"/>
  <c r="S10" i="16" a="1"/>
  <c r="S10" i="16" s="1"/>
  <c r="W9" i="16" a="1"/>
  <c r="W9" i="16" s="1"/>
  <c r="S9" i="16" a="1"/>
  <c r="S9" i="16" s="1"/>
  <c r="W8" i="16" a="1"/>
  <c r="W8" i="16" s="1"/>
  <c r="S8" i="16" a="1"/>
  <c r="S8" i="16" s="1"/>
  <c r="W7" i="16" a="1"/>
  <c r="W7" i="16" s="1"/>
  <c r="S7" i="16" a="1"/>
  <c r="S7" i="16" s="1"/>
  <c r="W6" i="16" a="1"/>
  <c r="W6" i="16" s="1"/>
  <c r="S6" i="16" a="1"/>
  <c r="S6" i="16" s="1"/>
  <c r="H6" i="9" a="1"/>
  <c r="H6" i="9" s="1"/>
  <c r="V6" i="16" a="1"/>
  <c r="V6" i="16" s="1"/>
  <c r="Z10" i="16" a="1"/>
  <c r="Z10" i="16" s="1"/>
  <c r="V10" i="16" a="1"/>
  <c r="V10" i="16" s="1"/>
  <c r="Z9" i="16" a="1"/>
  <c r="Z9" i="16" s="1"/>
  <c r="V9" i="16" a="1"/>
  <c r="V9" i="16" s="1"/>
  <c r="Z8" i="16" a="1"/>
  <c r="Z8" i="16" s="1"/>
  <c r="V8" i="16" a="1"/>
  <c r="V8" i="16" s="1"/>
  <c r="Z7" i="16" a="1"/>
  <c r="Z7" i="16" s="1"/>
  <c r="V7" i="16" a="1"/>
  <c r="V7" i="16" s="1"/>
  <c r="Z6" i="16" a="1"/>
  <c r="Z6" i="16" s="1"/>
  <c r="T6" i="16" a="1"/>
  <c r="T6" i="16" s="1"/>
  <c r="Y10" i="16" a="1"/>
  <c r="Y10" i="16" s="1"/>
  <c r="U10" i="16" a="1"/>
  <c r="U10" i="16" s="1"/>
  <c r="Y9" i="16" a="1"/>
  <c r="Y9" i="16" s="1"/>
  <c r="U9" i="16" a="1"/>
  <c r="U9" i="16" s="1"/>
  <c r="Y8" i="16" a="1"/>
  <c r="Y8" i="16" s="1"/>
  <c r="U8" i="16" a="1"/>
  <c r="U8" i="16" s="1"/>
  <c r="Y7" i="16" a="1"/>
  <c r="Y7" i="16" s="1"/>
  <c r="U7" i="16" a="1"/>
  <c r="U7" i="16" s="1"/>
  <c r="Y6" i="16" a="1"/>
  <c r="Y6" i="16" s="1"/>
  <c r="U6" i="16" a="1"/>
  <c r="U6" i="16" s="1"/>
  <c r="X10" i="16" a="1"/>
  <c r="X10" i="16" s="1"/>
  <c r="T10" i="16" a="1"/>
  <c r="T10" i="16" s="1"/>
  <c r="X9" i="16" a="1"/>
  <c r="X9" i="16" s="1"/>
  <c r="T9" i="16" a="1"/>
  <c r="T9" i="16" s="1"/>
  <c r="X8" i="16" a="1"/>
  <c r="X8" i="16" s="1"/>
  <c r="T8" i="16" a="1"/>
  <c r="T8" i="16" s="1"/>
  <c r="X7" i="16" a="1"/>
  <c r="X7" i="16" s="1"/>
  <c r="T7" i="16" a="1"/>
  <c r="T7" i="16" s="1"/>
  <c r="X6" i="16" a="1"/>
  <c r="X6" i="16" s="1"/>
  <c r="D7" i="16" a="1"/>
  <c r="D7" i="16" s="1"/>
  <c r="G7" i="16" a="1"/>
  <c r="G7" i="16" s="1"/>
  <c r="L7" i="16" a="1"/>
  <c r="L7" i="16" s="1"/>
  <c r="D8" i="16" a="1"/>
  <c r="D8" i="16" s="1"/>
  <c r="H8" i="16" a="1"/>
  <c r="H8" i="16" s="1"/>
  <c r="L8" i="16" a="1"/>
  <c r="L8" i="16" s="1"/>
  <c r="D9" i="16" a="1"/>
  <c r="D9" i="16" s="1"/>
  <c r="H9" i="16" a="1"/>
  <c r="H9" i="16" s="1"/>
  <c r="L9" i="16" a="1"/>
  <c r="L9" i="16" s="1"/>
  <c r="D10" i="16" a="1"/>
  <c r="D10" i="16" s="1"/>
  <c r="H10" i="16" a="1"/>
  <c r="H10" i="16" s="1"/>
  <c r="L10" i="16" a="1"/>
  <c r="L10" i="16" s="1"/>
  <c r="E6" i="16" a="1"/>
  <c r="E6" i="16" s="1"/>
  <c r="H6" i="16" a="1"/>
  <c r="H6" i="16" s="1"/>
  <c r="M6" i="16" a="1"/>
  <c r="M6" i="16" s="1"/>
  <c r="D6" i="16" a="1"/>
  <c r="D6" i="16" s="1"/>
  <c r="E7" i="16" a="1"/>
  <c r="E7" i="16" s="1"/>
  <c r="J7" i="16" a="1"/>
  <c r="J7" i="16" s="1"/>
  <c r="M7" i="16" a="1"/>
  <c r="M7" i="16" s="1"/>
  <c r="E8" i="16" a="1"/>
  <c r="E8" i="16" s="1"/>
  <c r="I8" i="16" a="1"/>
  <c r="I8" i="16" s="1"/>
  <c r="M8" i="16" a="1"/>
  <c r="M8" i="16" s="1"/>
  <c r="E9" i="16" a="1"/>
  <c r="E9" i="16" s="1"/>
  <c r="I9" i="16" a="1"/>
  <c r="I9" i="16" s="1"/>
  <c r="M9" i="16" a="1"/>
  <c r="M9" i="16" s="1"/>
  <c r="E10" i="16" a="1"/>
  <c r="E10" i="16" s="1"/>
  <c r="I10" i="16" a="1"/>
  <c r="I10" i="16" s="1"/>
  <c r="M10" i="16" a="1"/>
  <c r="M10" i="16" s="1"/>
  <c r="F6" i="16" a="1"/>
  <c r="F6" i="16" s="1"/>
  <c r="K6" i="16" a="1"/>
  <c r="K6" i="16" s="1"/>
  <c r="N6" i="16" a="1"/>
  <c r="N6" i="16" s="1"/>
  <c r="H7" i="16" a="1"/>
  <c r="H7" i="16" s="1"/>
  <c r="K7" i="16" a="1"/>
  <c r="K7" i="16" s="1"/>
  <c r="N7" i="16" a="1"/>
  <c r="N7" i="16" s="1"/>
  <c r="F8" i="16" a="1"/>
  <c r="F8" i="16" s="1"/>
  <c r="J8" i="16" a="1"/>
  <c r="J8" i="16" s="1"/>
  <c r="N8" i="16" a="1"/>
  <c r="N8" i="16" s="1"/>
  <c r="F9" i="16" a="1"/>
  <c r="F9" i="16" s="1"/>
  <c r="J9" i="16" a="1"/>
  <c r="J9" i="16" s="1"/>
  <c r="N9" i="16" a="1"/>
  <c r="N9" i="16" s="1"/>
  <c r="F10" i="16" a="1"/>
  <c r="F10" i="16" s="1"/>
  <c r="J10" i="16" a="1"/>
  <c r="J10" i="16" s="1"/>
  <c r="N10" i="16" a="1"/>
  <c r="N10" i="16" s="1"/>
  <c r="I6" i="16" a="1"/>
  <c r="I6" i="16" s="1"/>
  <c r="L6" i="16" a="1"/>
  <c r="L6" i="16" s="1"/>
  <c r="F7" i="16" a="1"/>
  <c r="F7" i="16" s="1"/>
  <c r="I7" i="16" a="1"/>
  <c r="I7" i="16" s="1"/>
  <c r="O7" i="16" a="1"/>
  <c r="O7" i="16" s="1"/>
  <c r="G8" i="16" a="1"/>
  <c r="G8" i="16" s="1"/>
  <c r="K8" i="16" a="1"/>
  <c r="K8" i="16" s="1"/>
  <c r="O8" i="16" a="1"/>
  <c r="O8" i="16" s="1"/>
  <c r="G9" i="16" a="1"/>
  <c r="G9" i="16" s="1"/>
  <c r="K9" i="16" a="1"/>
  <c r="K9" i="16" s="1"/>
  <c r="O9" i="16" a="1"/>
  <c r="O9" i="16" s="1"/>
  <c r="G10" i="16" a="1"/>
  <c r="G10" i="16" s="1"/>
  <c r="K10" i="16" a="1"/>
  <c r="K10" i="16" s="1"/>
  <c r="O10" i="16" a="1"/>
  <c r="O10" i="16" s="1"/>
  <c r="G6" i="16" a="1"/>
  <c r="G6" i="16" s="1"/>
  <c r="J6" i="16" a="1"/>
  <c r="J6" i="16" s="1"/>
  <c r="O6" i="16" a="1"/>
  <c r="O6" i="16" s="1"/>
  <c r="L48" i="9"/>
  <c r="H8" i="9" a="1"/>
  <c r="H8" i="9" s="1"/>
  <c r="J48" i="9"/>
  <c r="H48" i="9"/>
  <c r="J54" i="9"/>
  <c r="K54" i="9" s="1"/>
  <c r="L54" i="9" s="1"/>
  <c r="M48" i="9"/>
  <c r="H27" i="9" a="1"/>
  <c r="H27" i="9" s="1"/>
  <c r="O48" i="9"/>
  <c r="J57" i="9"/>
  <c r="K57" i="9" s="1"/>
  <c r="L57" i="9" s="1"/>
  <c r="I48" i="9"/>
  <c r="K7" i="9" a="1"/>
  <c r="K7" i="9" s="1"/>
  <c r="N48" i="9"/>
  <c r="J56" i="9"/>
  <c r="K56" i="9" s="1"/>
  <c r="L56" i="9" s="1"/>
  <c r="J53" i="9"/>
  <c r="K53" i="9" s="1"/>
  <c r="L53" i="9" s="1"/>
  <c r="J55" i="9"/>
  <c r="K55" i="9" s="1"/>
  <c r="L55" i="9" s="1"/>
  <c r="I12" i="9" a="1"/>
  <c r="I12" i="9" s="1"/>
  <c r="K8" i="9" a="1"/>
  <c r="K8" i="9" s="1"/>
  <c r="L8" i="9" a="1"/>
  <c r="L8" i="9" s="1"/>
  <c r="I8" i="9" a="1"/>
  <c r="I8" i="9" s="1"/>
  <c r="M8" i="9" a="1"/>
  <c r="M8" i="9" s="1"/>
  <c r="J8" i="9" a="1"/>
  <c r="J8" i="9" s="1"/>
  <c r="H12" i="9" a="1"/>
  <c r="H12" i="9" s="1"/>
  <c r="J7" i="9" a="1"/>
  <c r="J7" i="9" s="1"/>
  <c r="N7" i="9" a="1"/>
  <c r="N7" i="9" s="1"/>
  <c r="H7" i="9" a="1"/>
  <c r="H7" i="9" s="1"/>
  <c r="L7" i="9" a="1"/>
  <c r="L7" i="9" s="1"/>
  <c r="I7" i="9" a="1"/>
  <c r="I7" i="9" s="1"/>
  <c r="M7" i="9" a="1"/>
  <c r="M7" i="9" s="1"/>
  <c r="K9" i="9" a="1"/>
  <c r="K9" i="9" s="1"/>
  <c r="L9" i="9" a="1"/>
  <c r="L9" i="9" s="1"/>
  <c r="I9" i="9" a="1"/>
  <c r="I9" i="9" s="1"/>
  <c r="J9" i="9" a="1"/>
  <c r="J9" i="9" s="1"/>
  <c r="H9" i="9" a="1"/>
  <c r="H9" i="9" s="1"/>
  <c r="H13" i="9" a="1"/>
  <c r="H13" i="9" s="1"/>
  <c r="I11" i="9" a="1"/>
  <c r="I11" i="9" s="1"/>
  <c r="J11" i="9" a="1"/>
  <c r="J11" i="9" s="1"/>
  <c r="H11" i="9" a="1"/>
  <c r="H11" i="9" s="1"/>
  <c r="J6" i="9" a="1"/>
  <c r="J6" i="9" s="1"/>
  <c r="O6" i="9" a="1"/>
  <c r="O6" i="9" s="1"/>
  <c r="L6" i="9" a="1"/>
  <c r="L6" i="9" s="1"/>
  <c r="K6" i="9" a="1"/>
  <c r="K6" i="9" s="1"/>
  <c r="M6" i="9" a="1"/>
  <c r="M6" i="9" s="1"/>
  <c r="I6" i="9" a="1"/>
  <c r="I6" i="9" s="1"/>
  <c r="N6" i="9" a="1"/>
  <c r="N6" i="9" s="1"/>
  <c r="J10" i="9" a="1"/>
  <c r="J10" i="9" s="1"/>
  <c r="K10" i="9" a="1"/>
  <c r="K10" i="9" s="1"/>
  <c r="H10" i="9" a="1"/>
  <c r="H10" i="9" s="1"/>
  <c r="I10" i="9" a="1"/>
  <c r="I10" i="9" s="1"/>
  <c r="P48" i="9" l="1"/>
  <c r="Q33" i="9"/>
  <c r="P33" i="9"/>
  <c r="R33" i="9"/>
  <c r="O16" i="9"/>
  <c r="O33" i="9" s="1"/>
  <c r="I16" i="9" a="1"/>
  <c r="I16" i="9" s="1"/>
  <c r="I33" i="9" s="1"/>
  <c r="J16" i="9" a="1"/>
  <c r="J16" i="9" s="1"/>
  <c r="J33" i="9" s="1"/>
  <c r="N16" i="9" a="1"/>
  <c r="N16" i="9" s="1"/>
  <c r="N33" i="9" s="1"/>
  <c r="M16" i="9" a="1"/>
  <c r="M16" i="9" s="1"/>
  <c r="M33" i="9" s="1"/>
  <c r="L16" i="9" a="1"/>
  <c r="L16" i="9" s="1"/>
  <c r="L33" i="9" s="1"/>
  <c r="K16" i="9" a="1"/>
  <c r="K16" i="9" s="1"/>
  <c r="K33" i="9" s="1"/>
  <c r="O36" i="9" l="1"/>
  <c r="P36" i="9"/>
  <c r="N36" i="9"/>
  <c r="L36" i="9"/>
  <c r="I36" i="9"/>
  <c r="M36" i="9"/>
  <c r="J36" i="9"/>
  <c r="K36" i="9"/>
  <c r="H49" i="9" l="1" a="1"/>
  <c r="J49" i="9" s="1"/>
  <c r="H49" i="9" l="1"/>
  <c r="I49" i="9"/>
  <c r="N49" i="9"/>
  <c r="O49" i="9"/>
  <c r="L49" i="9"/>
  <c r="M49" i="9"/>
  <c r="K49" i="9"/>
  <c r="P49"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<sst xmlns="http://schemas.openxmlformats.org/spreadsheetml/2006/main" count="3440" uniqueCount="621">
  <si>
    <t>Industry Benchmark Loss Development Factors — Homeowners Insurance</t>
  </si>
  <si>
    <t>Cumulative Paid Basis  ·  12-Month Evaluation Periods  ·  For use with credibility-weighted company development factors</t>
  </si>
  <si>
    <t>Claim Type</t>
  </si>
  <si>
    <t>Description</t>
  </si>
  <si>
    <t>Development Period</t>
  </si>
  <si>
    <t>% Paid @ 12 Mo</t>
  </si>
  <si>
    <t>Tail Factor</t>
  </si>
  <si>
    <t>Theft</t>
  </si>
  <si>
    <t>Theft &amp; Burglary — Personal Property</t>
  </si>
  <si>
    <t>36 months</t>
  </si>
  <si>
    <t>Wind/Hail</t>
  </si>
  <si>
    <t>Wind &amp; Hail — Structural / Roof Damage</t>
  </si>
  <si>
    <t>48 months</t>
  </si>
  <si>
    <t>Water Damage</t>
  </si>
  <si>
    <t>Water Damage — Non-Flood (Pipe Burst, Overflow, Appliance)</t>
  </si>
  <si>
    <t>60 months</t>
  </si>
  <si>
    <t>Flood</t>
  </si>
  <si>
    <t>Flood — Surface Water, Storm Surge &amp; Overflow</t>
  </si>
  <si>
    <t>84 months</t>
  </si>
  <si>
    <t>Fire</t>
  </si>
  <si>
    <t>Fire — Structural, Smoke Damage &amp; Total Loss</t>
  </si>
  <si>
    <t>120 months</t>
  </si>
  <si>
    <t>READING THE TABLES</t>
  </si>
  <si>
    <t>Age-to-Age (ATA) Factor</t>
  </si>
  <si>
    <t>The ratio of cumulative paid losses at one evaluation age to the prior age. E.g., a 12→24 factor of 1.635 means that, on average, paid losses at 24 months are 63.5% higher than at 12 months.</t>
  </si>
  <si>
    <t>Disclaimer: These factors are illustrative industry benchmarks for educational purposes. They should not be used in production pricing, reserving, or regulatory filings without independent actuarial review and validation against the specific portfolio.</t>
  </si>
  <si>
    <t>Industry Benchmark Loss Development Factors  |  Theft &amp; Burglary — Personal Property</t>
  </si>
  <si>
    <t>Cumulative Paid Basis  |  12-Month Evaluation Periods  |  Fully Developed at: 36 months  |  Estimated % Paid at First Evaluation (12 mo): 83.0%</t>
  </si>
  <si>
    <t>SECTION 1 — Age-to-Age Development Factors (Selected)</t>
  </si>
  <si>
    <t>Development Interval</t>
  </si>
  <si>
    <t>12→24</t>
  </si>
  <si>
    <t>24→36</t>
  </si>
  <si>
    <t>36→Ult</t>
  </si>
  <si>
    <t>Selected — Industry Benchmark (Volume-Wtd)</t>
  </si>
  <si>
    <t>For educational/program use only. Factors are illustrative benchmarks; independent actuarial judgment should be applied before use in pricing or reserving.</t>
  </si>
  <si>
    <t>Industry Benchmark Loss Development Factors  |  Wind &amp; Hail — Structural / Roof Damage</t>
  </si>
  <si>
    <t>Cumulative Paid Basis  |  12-Month Evaluation Periods  |  Fully Developed at: 48 months  |  Estimated % Paid at First Evaluation (12 mo): 55.2%</t>
  </si>
  <si>
    <t>36→48</t>
  </si>
  <si>
    <t>48→Ult</t>
  </si>
  <si>
    <t>Industry Benchmark Loss Development Factors  |  Water Damage — Non-Flood (Pipe Burst, Overflow, Appliance)</t>
  </si>
  <si>
    <t>Cumulative Paid Basis  |  12-Month Evaluation Periods  |  Fully Developed at: 60 months  |  Estimated % Paid at First Evaluation (12 mo): 44.5%</t>
  </si>
  <si>
    <t>48→60</t>
  </si>
  <si>
    <t>60→Ult</t>
  </si>
  <si>
    <t>Industry Benchmark Loss Development Factors  |  Flood — Surface Water, Storm Surge &amp; Overflow</t>
  </si>
  <si>
    <t>Cumulative Paid Basis  |  12-Month Evaluation Periods  |  Fully Developed at: 84 months  |  Estimated % Paid at First Evaluation (12 mo): 32.2%</t>
  </si>
  <si>
    <t>60→72</t>
  </si>
  <si>
    <t>72→84</t>
  </si>
  <si>
    <t>84→Ult</t>
  </si>
  <si>
    <t>Industry Benchmark Loss Development Factors  |  Fire — Structural, Smoke Damage &amp; Total Loss</t>
  </si>
  <si>
    <t>Cumulative Paid Basis  |  12-Month Evaluation Periods  |  Fully Developed at: 120 months  |  Estimated % Paid at First Evaluation (12 mo): 28.2%</t>
  </si>
  <si>
    <t>84→96</t>
  </si>
  <si>
    <t>96→108</t>
  </si>
  <si>
    <t>108→120</t>
  </si>
  <si>
    <t>120→Ult</t>
  </si>
  <si>
    <t>Claim ID</t>
  </si>
  <si>
    <t>Accident
Year</t>
  </si>
  <si>
    <t>Accident
Month</t>
  </si>
  <si>
    <t>Status at
12/31/2025</t>
  </si>
  <si>
    <t>2018</t>
  </si>
  <si>
    <t>2019</t>
  </si>
  <si>
    <t>2020</t>
  </si>
  <si>
    <t>2021</t>
  </si>
  <si>
    <t>2022</t>
  </si>
  <si>
    <t>2023</t>
  </si>
  <si>
    <t>2024</t>
  </si>
  <si>
    <t>2025</t>
  </si>
  <si>
    <t>Jan</t>
  </si>
  <si>
    <t>Feb</t>
  </si>
  <si>
    <t>Mar</t>
  </si>
  <si>
    <t>Apr</t>
  </si>
  <si>
    <t>May</t>
  </si>
  <si>
    <t>Jun</t>
  </si>
  <si>
    <t>Jul</t>
  </si>
  <si>
    <t>Aug</t>
  </si>
  <si>
    <t>Sep</t>
  </si>
  <si>
    <t>Oct</t>
  </si>
  <si>
    <t>Nov</t>
  </si>
  <si>
    <t>Dec</t>
  </si>
  <si>
    <t>CLM0001</t>
  </si>
  <si>
    <t>Closed</t>
  </si>
  <si>
    <t>CLM0002</t>
  </si>
  <si>
    <t>CLM0003</t>
  </si>
  <si>
    <t>CLM0004</t>
  </si>
  <si>
    <t>Open</t>
  </si>
  <si>
    <t>CLM0005</t>
  </si>
  <si>
    <t>CLM0006</t>
  </si>
  <si>
    <t>CLM0007</t>
  </si>
  <si>
    <t>CLM0008</t>
  </si>
  <si>
    <t>CLM0009</t>
  </si>
  <si>
    <t>CLM0010</t>
  </si>
  <si>
    <t>CLM0011</t>
  </si>
  <si>
    <t>CLM0012</t>
  </si>
  <si>
    <t>CLM0013</t>
  </si>
  <si>
    <t>CLM0014</t>
  </si>
  <si>
    <t>CLM0015</t>
  </si>
  <si>
    <t>CLM0016</t>
  </si>
  <si>
    <t>CLM0017</t>
  </si>
  <si>
    <t>CLM0018</t>
  </si>
  <si>
    <t>CLM0019</t>
  </si>
  <si>
    <t>CLM0020</t>
  </si>
  <si>
    <t>CLM0021</t>
  </si>
  <si>
    <t>CLM0022</t>
  </si>
  <si>
    <t>CLM0023</t>
  </si>
  <si>
    <t>CLM0024</t>
  </si>
  <si>
    <t>CLM0025</t>
  </si>
  <si>
    <t>CLM0026</t>
  </si>
  <si>
    <t>CLM0027</t>
  </si>
  <si>
    <t>CLM0028</t>
  </si>
  <si>
    <t>CLM0029</t>
  </si>
  <si>
    <t>CLM0030</t>
  </si>
  <si>
    <t>CLM0031</t>
  </si>
  <si>
    <t>CLM0032</t>
  </si>
  <si>
    <t>CLM0033</t>
  </si>
  <si>
    <t>CLM0034</t>
  </si>
  <si>
    <t>CLM0035</t>
  </si>
  <si>
    <t>CLM0036</t>
  </si>
  <si>
    <t>CLM0037</t>
  </si>
  <si>
    <t>CLM0038</t>
  </si>
  <si>
    <t>CLM0039</t>
  </si>
  <si>
    <t>CLM0040</t>
  </si>
  <si>
    <t>CLM0041</t>
  </si>
  <si>
    <t>CLM0042</t>
  </si>
  <si>
    <t>CLM0043</t>
  </si>
  <si>
    <t>CLM0044</t>
  </si>
  <si>
    <t>CLM0045</t>
  </si>
  <si>
    <t>CLM0046</t>
  </si>
  <si>
    <t>CLM0047</t>
  </si>
  <si>
    <t>CLM0048</t>
  </si>
  <si>
    <t>CLM0049</t>
  </si>
  <si>
    <t>CLM0050</t>
  </si>
  <si>
    <t>CLM0051</t>
  </si>
  <si>
    <t>CLM0052</t>
  </si>
  <si>
    <t>CLM0053</t>
  </si>
  <si>
    <t>CLM0054</t>
  </si>
  <si>
    <t>CLM0055</t>
  </si>
  <si>
    <t>CLM0056</t>
  </si>
  <si>
    <t>CLM0057</t>
  </si>
  <si>
    <t>CLM0058</t>
  </si>
  <si>
    <t>CLM0059</t>
  </si>
  <si>
    <t>CLM0060</t>
  </si>
  <si>
    <t>CLM0061</t>
  </si>
  <si>
    <t>CLM0062</t>
  </si>
  <si>
    <t>CLM0063</t>
  </si>
  <si>
    <t>CLM0064</t>
  </si>
  <si>
    <t>CLM0065</t>
  </si>
  <si>
    <t>CLM0066</t>
  </si>
  <si>
    <t>CLM0067</t>
  </si>
  <si>
    <t>CLM0068</t>
  </si>
  <si>
    <t>CLM0069</t>
  </si>
  <si>
    <t>CLM0070</t>
  </si>
  <si>
    <t>CLM0071</t>
  </si>
  <si>
    <t>CLM0072</t>
  </si>
  <si>
    <t>CLM0073</t>
  </si>
  <si>
    <t>CLM0074</t>
  </si>
  <si>
    <t>CLM0075</t>
  </si>
  <si>
    <t>CLM0076</t>
  </si>
  <si>
    <t>CLM0077</t>
  </si>
  <si>
    <t>CLM0078</t>
  </si>
  <si>
    <t>CLM0079</t>
  </si>
  <si>
    <t>CLM0080</t>
  </si>
  <si>
    <t>CLM0081</t>
  </si>
  <si>
    <t>CLM0082</t>
  </si>
  <si>
    <t>CLM0083</t>
  </si>
  <si>
    <t>CLM0084</t>
  </si>
  <si>
    <t>CLM0085</t>
  </si>
  <si>
    <t>CLM0086</t>
  </si>
  <si>
    <t>CLM0087</t>
  </si>
  <si>
    <t>CLM0088</t>
  </si>
  <si>
    <t>CLM0089</t>
  </si>
  <si>
    <t>CLM0090</t>
  </si>
  <si>
    <t>CLM0091</t>
  </si>
  <si>
    <t>CLM0092</t>
  </si>
  <si>
    <t>CLM0093</t>
  </si>
  <si>
    <t>CLM0094</t>
  </si>
  <si>
    <t>CLM0095</t>
  </si>
  <si>
    <t>CLM0096</t>
  </si>
  <si>
    <t>CLM0097</t>
  </si>
  <si>
    <t>CLM0098</t>
  </si>
  <si>
    <t>CLM0099</t>
  </si>
  <si>
    <t>CLM0100</t>
  </si>
  <si>
    <t>CLM0101</t>
  </si>
  <si>
    <t>CLM0102</t>
  </si>
  <si>
    <t>CLM0103</t>
  </si>
  <si>
    <t>CLM0104</t>
  </si>
  <si>
    <t>CLM0105</t>
  </si>
  <si>
    <t>CLM0106</t>
  </si>
  <si>
    <t>CLM0107</t>
  </si>
  <si>
    <t>CLM0108</t>
  </si>
  <si>
    <t>CLM0109</t>
  </si>
  <si>
    <t>CLM0110</t>
  </si>
  <si>
    <t>CLM0111</t>
  </si>
  <si>
    <t>CLM0112</t>
  </si>
  <si>
    <t>CLM0113</t>
  </si>
  <si>
    <t>CLM0114</t>
  </si>
  <si>
    <t>CLM0115</t>
  </si>
  <si>
    <t>CLM0116</t>
  </si>
  <si>
    <t>CLM0117</t>
  </si>
  <si>
    <t>CLM0118</t>
  </si>
  <si>
    <t>CLM0119</t>
  </si>
  <si>
    <t>CLM0120</t>
  </si>
  <si>
    <t>CLM0121</t>
  </si>
  <si>
    <t>CLM0122</t>
  </si>
  <si>
    <t>CLM0123</t>
  </si>
  <si>
    <t>CLM0124</t>
  </si>
  <si>
    <t>CLM0125</t>
  </si>
  <si>
    <t>CLM0126</t>
  </si>
  <si>
    <t>CLM0127</t>
  </si>
  <si>
    <t>CLM0128</t>
  </si>
  <si>
    <t>CLM0129</t>
  </si>
  <si>
    <t>CLM0130</t>
  </si>
  <si>
    <t>CLM0131</t>
  </si>
  <si>
    <t>CLM0132</t>
  </si>
  <si>
    <t>CLM0133</t>
  </si>
  <si>
    <t>CLM0134</t>
  </si>
  <si>
    <t>CLM0135</t>
  </si>
  <si>
    <t>CLM0136</t>
  </si>
  <si>
    <t>CLM0137</t>
  </si>
  <si>
    <t>CLM0138</t>
  </si>
  <si>
    <t>CLM0139</t>
  </si>
  <si>
    <t>CLM0140</t>
  </si>
  <si>
    <t>CLM0141</t>
  </si>
  <si>
    <t>CLM0142</t>
  </si>
  <si>
    <t>CLM0143</t>
  </si>
  <si>
    <t>CLM0144</t>
  </si>
  <si>
    <t>CLM0145</t>
  </si>
  <si>
    <t>CLM0146</t>
  </si>
  <si>
    <t>CLM0147</t>
  </si>
  <si>
    <t>CLM0148</t>
  </si>
  <si>
    <t>CLM0149</t>
  </si>
  <si>
    <t>CLM0150</t>
  </si>
  <si>
    <t>CLM0151</t>
  </si>
  <si>
    <t>CLM0152</t>
  </si>
  <si>
    <t>CLM0153</t>
  </si>
  <si>
    <t>CLM0154</t>
  </si>
  <si>
    <t>CLM0155</t>
  </si>
  <si>
    <t>CLM0156</t>
  </si>
  <si>
    <t>CLM0157</t>
  </si>
  <si>
    <t>CLM0158</t>
  </si>
  <si>
    <t>CLM0159</t>
  </si>
  <si>
    <t>CLM0160</t>
  </si>
  <si>
    <t>CLM0161</t>
  </si>
  <si>
    <t>CLM0162</t>
  </si>
  <si>
    <t>CLM0163</t>
  </si>
  <si>
    <t>CLM0164</t>
  </si>
  <si>
    <t>CLM0165</t>
  </si>
  <si>
    <t>CLM0166</t>
  </si>
  <si>
    <t>CLM0167</t>
  </si>
  <si>
    <t>CLM0168</t>
  </si>
  <si>
    <t>CLM0169</t>
  </si>
  <si>
    <t>CLM0170</t>
  </si>
  <si>
    <t>CLM0171</t>
  </si>
  <si>
    <t>CLM0172</t>
  </si>
  <si>
    <t>CLM0173</t>
  </si>
  <si>
    <t>CLM0174</t>
  </si>
  <si>
    <t>CLM0175</t>
  </si>
  <si>
    <t>CLM0176</t>
  </si>
  <si>
    <t>CLM0177</t>
  </si>
  <si>
    <t>CLM0178</t>
  </si>
  <si>
    <t>CLM0179</t>
  </si>
  <si>
    <t>CLM0180</t>
  </si>
  <si>
    <t>CLM0181</t>
  </si>
  <si>
    <t>CLM0182</t>
  </si>
  <si>
    <t>CLM0183</t>
  </si>
  <si>
    <t>CLM0184</t>
  </si>
  <si>
    <t>CLM0185</t>
  </si>
  <si>
    <t>CLM0186</t>
  </si>
  <si>
    <t>CLM0187</t>
  </si>
  <si>
    <t>CLM0188</t>
  </si>
  <si>
    <t>CLM0189</t>
  </si>
  <si>
    <t>CLM0190</t>
  </si>
  <si>
    <t>CLM0191</t>
  </si>
  <si>
    <t>CLM0192</t>
  </si>
  <si>
    <t>CLM0193</t>
  </si>
  <si>
    <t>CLM0194</t>
  </si>
  <si>
    <t>CLM0195</t>
  </si>
  <si>
    <t>CLM0196</t>
  </si>
  <si>
    <t>CLM0197</t>
  </si>
  <si>
    <t>CLM0198</t>
  </si>
  <si>
    <t>CLM0199</t>
  </si>
  <si>
    <t>CLM0200</t>
  </si>
  <si>
    <t>CLM0201</t>
  </si>
  <si>
    <t>CLM0202</t>
  </si>
  <si>
    <t>CLM0203</t>
  </si>
  <si>
    <t>CLM0204</t>
  </si>
  <si>
    <t>CLM0205</t>
  </si>
  <si>
    <t>CLM0206</t>
  </si>
  <si>
    <t>CLM0207</t>
  </si>
  <si>
    <t>CLM0208</t>
  </si>
  <si>
    <t>CLM0209</t>
  </si>
  <si>
    <t>CLM0210</t>
  </si>
  <si>
    <t>CLM0211</t>
  </si>
  <si>
    <t>CLM0212</t>
  </si>
  <si>
    <t>CLM0213</t>
  </si>
  <si>
    <t>CLM0214</t>
  </si>
  <si>
    <t>CLM0215</t>
  </si>
  <si>
    <t>CLM0216</t>
  </si>
  <si>
    <t>CLM0217</t>
  </si>
  <si>
    <t>CLM0218</t>
  </si>
  <si>
    <t>CLM0219</t>
  </si>
  <si>
    <t>CLM0220</t>
  </si>
  <si>
    <t>CLM0221</t>
  </si>
  <si>
    <t>CLM0222</t>
  </si>
  <si>
    <t>CLM0223</t>
  </si>
  <si>
    <t>CLM0224</t>
  </si>
  <si>
    <t>CLM0225</t>
  </si>
  <si>
    <t>CLM0226</t>
  </si>
  <si>
    <t>CLM0227</t>
  </si>
  <si>
    <t>CLM0228</t>
  </si>
  <si>
    <t>CLM0229</t>
  </si>
  <si>
    <t>CLM0230</t>
  </si>
  <si>
    <t>CLM0231</t>
  </si>
  <si>
    <t>CLM0232</t>
  </si>
  <si>
    <t>CLM0233</t>
  </si>
  <si>
    <t>CLM0234</t>
  </si>
  <si>
    <t>CLM0235</t>
  </si>
  <si>
    <t>CLM0236</t>
  </si>
  <si>
    <t>CLM0237</t>
  </si>
  <si>
    <t>CLM0238</t>
  </si>
  <si>
    <t>CLM0239</t>
  </si>
  <si>
    <t>CLM0240</t>
  </si>
  <si>
    <t>CLM0241</t>
  </si>
  <si>
    <t>CLM0242</t>
  </si>
  <si>
    <t>CLM0243</t>
  </si>
  <si>
    <t>CLM0244</t>
  </si>
  <si>
    <t>CLM0245</t>
  </si>
  <si>
    <t>CLM0246</t>
  </si>
  <si>
    <t>CLM0247</t>
  </si>
  <si>
    <t>CLM0248</t>
  </si>
  <si>
    <t>CLM0249</t>
  </si>
  <si>
    <t>CLM0250</t>
  </si>
  <si>
    <t>CLM0251</t>
  </si>
  <si>
    <t>CLM0252</t>
  </si>
  <si>
    <t>CLM0253</t>
  </si>
  <si>
    <t>CLM0254</t>
  </si>
  <si>
    <t>CLM0255</t>
  </si>
  <si>
    <t>CLM0256</t>
  </si>
  <si>
    <t>CLM0257</t>
  </si>
  <si>
    <t>CLM0258</t>
  </si>
  <si>
    <t>CLM0259</t>
  </si>
  <si>
    <t>CLM0260</t>
  </si>
  <si>
    <t>CLM0261</t>
  </si>
  <si>
    <t>CLM0262</t>
  </si>
  <si>
    <t>CLM0263</t>
  </si>
  <si>
    <t>CLM0264</t>
  </si>
  <si>
    <t>CLM0265</t>
  </si>
  <si>
    <t>CLM0266</t>
  </si>
  <si>
    <t>CLM0267</t>
  </si>
  <si>
    <t>CLM0268</t>
  </si>
  <si>
    <t>CLM0269</t>
  </si>
  <si>
    <t>CLM0270</t>
  </si>
  <si>
    <t>CLM0271</t>
  </si>
  <si>
    <t>CLM0272</t>
  </si>
  <si>
    <t>CLM0273</t>
  </si>
  <si>
    <t>CLM0274</t>
  </si>
  <si>
    <t>CLM0275</t>
  </si>
  <si>
    <t>CLM0276</t>
  </si>
  <si>
    <t>CLM0277</t>
  </si>
  <si>
    <t>CLM0278</t>
  </si>
  <si>
    <t>CLM0279</t>
  </si>
  <si>
    <t>CLM0280</t>
  </si>
  <si>
    <t>CLM0281</t>
  </si>
  <si>
    <t>CLM0282</t>
  </si>
  <si>
    <t>CLM0283</t>
  </si>
  <si>
    <t>CLM0284</t>
  </si>
  <si>
    <t>CLM0285</t>
  </si>
  <si>
    <t>CLM0286</t>
  </si>
  <si>
    <t>CLM0287</t>
  </si>
  <si>
    <t>CLM0288</t>
  </si>
  <si>
    <t>CLM0289</t>
  </si>
  <si>
    <t>CLM0290</t>
  </si>
  <si>
    <t>CLM0291</t>
  </si>
  <si>
    <t>CLM0292</t>
  </si>
  <si>
    <t>CLM0293</t>
  </si>
  <si>
    <t>CLM0294</t>
  </si>
  <si>
    <t>CLM0295</t>
  </si>
  <si>
    <t>CLM0296</t>
  </si>
  <si>
    <t>CLM0297</t>
  </si>
  <si>
    <t>CLM0298</t>
  </si>
  <si>
    <t>CLM0299</t>
  </si>
  <si>
    <t>CLM0300</t>
  </si>
  <si>
    <t>CLM0301</t>
  </si>
  <si>
    <t>CLM0302</t>
  </si>
  <si>
    <t>CLM0303</t>
  </si>
  <si>
    <t>CLM0304</t>
  </si>
  <si>
    <t>CLM0305</t>
  </si>
  <si>
    <t>CLM0306</t>
  </si>
  <si>
    <t>CLM0307</t>
  </si>
  <si>
    <t>CLM0308</t>
  </si>
  <si>
    <t>CLM0309</t>
  </si>
  <si>
    <t>CLM0310</t>
  </si>
  <si>
    <t>CLM0311</t>
  </si>
  <si>
    <t>CLM0312</t>
  </si>
  <si>
    <t>CLM0313</t>
  </si>
  <si>
    <t>CLM0314</t>
  </si>
  <si>
    <t>CLM0315</t>
  </si>
  <si>
    <t>CLM0316</t>
  </si>
  <si>
    <t>CLM0317</t>
  </si>
  <si>
    <t>CLM0318</t>
  </si>
  <si>
    <t>CLM0319</t>
  </si>
  <si>
    <t>CLM0320</t>
  </si>
  <si>
    <t>CLM0321</t>
  </si>
  <si>
    <t>CLM0322</t>
  </si>
  <si>
    <t>CLM0323</t>
  </si>
  <si>
    <t>CLM0324</t>
  </si>
  <si>
    <t>CLM0325</t>
  </si>
  <si>
    <t>CLM0326</t>
  </si>
  <si>
    <t>CLM0327</t>
  </si>
  <si>
    <t>CLM0328</t>
  </si>
  <si>
    <t>CLM0329</t>
  </si>
  <si>
    <t>CLM0330</t>
  </si>
  <si>
    <t>CLM0331</t>
  </si>
  <si>
    <t>CLM0332</t>
  </si>
  <si>
    <t>CLM0333</t>
  </si>
  <si>
    <t>CLM0334</t>
  </si>
  <si>
    <t>CLM0335</t>
  </si>
  <si>
    <t>CLM0336</t>
  </si>
  <si>
    <t>CLM0337</t>
  </si>
  <si>
    <t>CLM0338</t>
  </si>
  <si>
    <t>CLM0339</t>
  </si>
  <si>
    <t>CLM0340</t>
  </si>
  <si>
    <t>CLM0341</t>
  </si>
  <si>
    <t>CLM0342</t>
  </si>
  <si>
    <t>CLM0343</t>
  </si>
  <si>
    <t>CLM0344</t>
  </si>
  <si>
    <t>CLM0345</t>
  </si>
  <si>
    <t>CLM0346</t>
  </si>
  <si>
    <t>CLM0347</t>
  </si>
  <si>
    <t>CLM0348</t>
  </si>
  <si>
    <t>CLM0349</t>
  </si>
  <si>
    <t>CLM0350</t>
  </si>
  <si>
    <t>CLM0351</t>
  </si>
  <si>
    <t>CLM0352</t>
  </si>
  <si>
    <t>CLM0353</t>
  </si>
  <si>
    <t>CLM0354</t>
  </si>
  <si>
    <t>CLM0355</t>
  </si>
  <si>
    <t>CLM0356</t>
  </si>
  <si>
    <t>CLM0357</t>
  </si>
  <si>
    <t>CLM0358</t>
  </si>
  <si>
    <t>CLM0359</t>
  </si>
  <si>
    <t>CLM0360</t>
  </si>
  <si>
    <t>CLM0361</t>
  </si>
  <si>
    <t>CLM0362</t>
  </si>
  <si>
    <t>CLM0363</t>
  </si>
  <si>
    <t>CLM0364</t>
  </si>
  <si>
    <t>CLM0365</t>
  </si>
  <si>
    <t>CLM0366</t>
  </si>
  <si>
    <t>CLM0367</t>
  </si>
  <si>
    <t>CLM0368</t>
  </si>
  <si>
    <t>CLM0369</t>
  </si>
  <si>
    <t>CLM0370</t>
  </si>
  <si>
    <t>CLM0371</t>
  </si>
  <si>
    <t>CLM0372</t>
  </si>
  <si>
    <t>CLM0373</t>
  </si>
  <si>
    <t>CLM0374</t>
  </si>
  <si>
    <t>CLM0375</t>
  </si>
  <si>
    <t>CLM0376</t>
  </si>
  <si>
    <t>CLM0377</t>
  </si>
  <si>
    <t>CLM0378</t>
  </si>
  <si>
    <t>CLM0379</t>
  </si>
  <si>
    <t>CLM0380</t>
  </si>
  <si>
    <t>CLM0381</t>
  </si>
  <si>
    <t>CLM0382</t>
  </si>
  <si>
    <t>CLM0383</t>
  </si>
  <si>
    <t>CLM0384</t>
  </si>
  <si>
    <t>CLM0385</t>
  </si>
  <si>
    <t>CLM0386</t>
  </si>
  <si>
    <t>CLM0387</t>
  </si>
  <si>
    <t>CLM0388</t>
  </si>
  <si>
    <t>CLM0389</t>
  </si>
  <si>
    <t>CLM0390</t>
  </si>
  <si>
    <t>CLM0391</t>
  </si>
  <si>
    <t>CLM0392</t>
  </si>
  <si>
    <t>CLM0393</t>
  </si>
  <si>
    <t>CLM0394</t>
  </si>
  <si>
    <t>CLM0395</t>
  </si>
  <si>
    <t>CLM0396</t>
  </si>
  <si>
    <t>CLM0397</t>
  </si>
  <si>
    <t>CLM0398</t>
  </si>
  <si>
    <t>CLM0399</t>
  </si>
  <si>
    <t>CLM0400</t>
  </si>
  <si>
    <t>CLM0401</t>
  </si>
  <si>
    <t>CLM0402</t>
  </si>
  <si>
    <t>CLM0403</t>
  </si>
  <si>
    <t>CLM0404</t>
  </si>
  <si>
    <t>CLM0405</t>
  </si>
  <si>
    <t>CLM0406</t>
  </si>
  <si>
    <t>CLM0407</t>
  </si>
  <si>
    <t>CLM0408</t>
  </si>
  <si>
    <t>CLM0409</t>
  </si>
  <si>
    <t>CLM0410</t>
  </si>
  <si>
    <t>CLM0411</t>
  </si>
  <si>
    <t>CLM0412</t>
  </si>
  <si>
    <t>CLM0413</t>
  </si>
  <si>
    <t>CLM0414</t>
  </si>
  <si>
    <t>CLM0415</t>
  </si>
  <si>
    <t>CLM0416</t>
  </si>
  <si>
    <t>CLM0417</t>
  </si>
  <si>
    <t>CLM0418</t>
  </si>
  <si>
    <t>CLM0419</t>
  </si>
  <si>
    <t>CLM0420</t>
  </si>
  <si>
    <t>CLM0421</t>
  </si>
  <si>
    <t>CLM0422</t>
  </si>
  <si>
    <t>CLM0423</t>
  </si>
  <si>
    <t>CLM0424</t>
  </si>
  <si>
    <t>CLM0425</t>
  </si>
  <si>
    <t>CLM0426</t>
  </si>
  <si>
    <t>CLM0427</t>
  </si>
  <si>
    <t>CLM0428</t>
  </si>
  <si>
    <t>CLM0429</t>
  </si>
  <si>
    <t>CLM0430</t>
  </si>
  <si>
    <t>CLM0431</t>
  </si>
  <si>
    <t>CLM0432</t>
  </si>
  <si>
    <t>CLM0433</t>
  </si>
  <si>
    <t>CLM0434</t>
  </si>
  <si>
    <t>CLM0435</t>
  </si>
  <si>
    <t>CLM0436</t>
  </si>
  <si>
    <t>CLM0437</t>
  </si>
  <si>
    <t>CLM0438</t>
  </si>
  <si>
    <t>CLM0439</t>
  </si>
  <si>
    <t>CLM0440</t>
  </si>
  <si>
    <t>CLM0441</t>
  </si>
  <si>
    <t>CLM0442</t>
  </si>
  <si>
    <t>CLM0443</t>
  </si>
  <si>
    <t>CLM0444</t>
  </si>
  <si>
    <t>CLM0445</t>
  </si>
  <si>
    <t>CLM0446</t>
  </si>
  <si>
    <t>CLM0447</t>
  </si>
  <si>
    <t>CLM0448</t>
  </si>
  <si>
    <t>CLM0449</t>
  </si>
  <si>
    <t>CLM0450</t>
  </si>
  <si>
    <t>CLM0451</t>
  </si>
  <si>
    <t>CLM0452</t>
  </si>
  <si>
    <t>CLM0453</t>
  </si>
  <si>
    <t>CLM0454</t>
  </si>
  <si>
    <t>CLM0455</t>
  </si>
  <si>
    <t>CLM0456</t>
  </si>
  <si>
    <t>CLM0457</t>
  </si>
  <si>
    <t>CLM0458</t>
  </si>
  <si>
    <t>CLM0459</t>
  </si>
  <si>
    <t>CLM0460</t>
  </si>
  <si>
    <t>CLM0461</t>
  </si>
  <si>
    <t>CLM0462</t>
  </si>
  <si>
    <t>CLM0463</t>
  </si>
  <si>
    <t>CLM0464</t>
  </si>
  <si>
    <t>CLM0465</t>
  </si>
  <si>
    <t>CLM0466</t>
  </si>
  <si>
    <t>CLM0467</t>
  </si>
  <si>
    <t>CLM0468</t>
  </si>
  <si>
    <t>CLM0469</t>
  </si>
  <si>
    <t>CLM0470</t>
  </si>
  <si>
    <t>CLM0471</t>
  </si>
  <si>
    <t>CLM0472</t>
  </si>
  <si>
    <t>CLM0473</t>
  </si>
  <si>
    <t>CLM0474</t>
  </si>
  <si>
    <t>CLM0475</t>
  </si>
  <si>
    <t>CLM0476</t>
  </si>
  <si>
    <t>CLM0477</t>
  </si>
  <si>
    <t>CLM0478</t>
  </si>
  <si>
    <t>CLM0479</t>
  </si>
  <si>
    <t>CLM0480</t>
  </si>
  <si>
    <t>CLM0481</t>
  </si>
  <si>
    <t>CLM0482</t>
  </si>
  <si>
    <t>CLM0483</t>
  </si>
  <si>
    <t>CLM0484</t>
  </si>
  <si>
    <t>CLM0485</t>
  </si>
  <si>
    <t>CLM0486</t>
  </si>
  <si>
    <t>CLM0487</t>
  </si>
  <si>
    <t>CLM0488</t>
  </si>
  <si>
    <t>CLM0489</t>
  </si>
  <si>
    <t>CLM0490</t>
  </si>
  <si>
    <t>CLM0491</t>
  </si>
  <si>
    <t>CLM0492</t>
  </si>
  <si>
    <t>CLM0493</t>
  </si>
  <si>
    <t>CLM0494</t>
  </si>
  <si>
    <t>CLM0495</t>
  </si>
  <si>
    <t>CLM0496</t>
  </si>
  <si>
    <t>CLM0497</t>
  </si>
  <si>
    <t>Total claim payment</t>
  </si>
  <si>
    <t>Developmental period</t>
  </si>
  <si>
    <t>Year</t>
  </si>
  <si>
    <t>Claim type</t>
  </si>
  <si>
    <t>Input(s)</t>
  </si>
  <si>
    <t>Accident 
year</t>
  </si>
  <si>
    <t>Average Loss Development Factor</t>
  </si>
  <si>
    <t>Credibility Factor</t>
  </si>
  <si>
    <t>Final (Credibility-Weighted) 
Development Factor</t>
  </si>
  <si>
    <t>Industry Benchmark 
Development Factor</t>
  </si>
  <si>
    <t>0→12</t>
  </si>
  <si>
    <t>Ultimate claims</t>
  </si>
  <si>
    <t>96→Ult</t>
  </si>
  <si>
    <t>Accident year</t>
  </si>
  <si>
    <t>Total open 
claim payment</t>
  </si>
  <si>
    <t>12→Ult</t>
  </si>
  <si>
    <t>24→Ult</t>
  </si>
  <si>
    <t>72→Ult</t>
  </si>
  <si>
    <t>Final (Credibility-Weighted) 
Ultimate Development Factor</t>
  </si>
  <si>
    <t>TOTAL</t>
  </si>
  <si>
    <t>Claim
type</t>
  </si>
  <si>
    <t xml:space="preserve">Claim type
</t>
  </si>
  <si>
    <t>2025 
Total Premium</t>
  </si>
  <si>
    <t>Current 
Loss Ratio</t>
  </si>
  <si>
    <t>Target 
Loss Ratio</t>
  </si>
  <si>
    <t>Rate 
Change</t>
  </si>
  <si>
    <t>Total 
Ultimate 
Claims
in 2025</t>
  </si>
  <si>
    <t>Average Loss Development Factor per claim type (FOR REFERENCE)</t>
  </si>
  <si>
    <t>Final (Credibility-Weighted) Ultimate Development Factor per claim type (FOR REFERENCE)</t>
  </si>
  <si>
    <t>Cumulative Paid Claims Developmental Triangle</t>
  </si>
  <si>
    <t>March</t>
  </si>
  <si>
    <t>April</t>
  </si>
  <si>
    <t>June</t>
  </si>
  <si>
    <t>July</t>
  </si>
  <si>
    <t>August</t>
  </si>
  <si>
    <t>Sept</t>
  </si>
  <si>
    <t>Month</t>
  </si>
  <si>
    <t>Inputs</t>
  </si>
  <si>
    <t>Target loss ratios by EAHII</t>
  </si>
  <si>
    <t>Regulator restriction error</t>
  </si>
  <si>
    <t>Aggregate claim payments (by accident month)</t>
  </si>
  <si>
    <t>Aggregate claim payments by payment year</t>
  </si>
  <si>
    <t>Aggregate claim payments (by payment year)</t>
  </si>
  <si>
    <t>insert generating macro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</si>
</sst>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
  </numFmts>
  <fonts count="30" x14ac:knownFonts="1">
    <font>
      <sz val="11"/>
      <color theme="1"/>
      <name val="Calibri"/>
      <family val="2"/>
      <charset val="1"/>
    </font>
    <font>
      <b/>
      <sz val="15"/>
      <color rgb="FFFFFFFF"/>
      <name val="Arial"/>
      <family val="2"/>
    </font>
    <font>
      <i/>
      <sz val="10"/>
      <color rgb="FFFFFFFF"/>
      <name val="Arial"/>
      <family val="2"/>
    </font>
    <font>
      <b/>
      <sz val="9"/>
      <color rgb="FFFFFFFF"/>
      <name val="Arial"/>
      <family val="2"/>
    </font>
    <font>
      <b/>
      <sz val="10"/>
      <color rgb="FFBF360C"/>
      <name val="Arial"/>
      <family val="2"/>
    </font>
    <font>
      <sz val="9"/>
      <color rgb="FF000000"/>
      <name val="Arial"/>
      <family val="2"/>
    </font>
    <font>
      <b/>
      <sz val="10"/>
      <color rgb="FF4527A0"/>
      <name val="Arial"/>
      <family val="2"/>
    </font>
    <font>
      <b/>
      <sz val="10"/>
      <color rgb="FF00695C"/>
      <name val="Arial"/>
      <family val="2"/>
    </font>
    <font>
      <b/>
      <sz val="10"/>
      <color rgb="FF01579B"/>
      <name val="Arial"/>
      <family val="2"/>
    </font>
    <font>
      <b/>
      <sz val="10"/>
      <color rgb="FFB71C1C"/>
      <name val="Arial"/>
      <family val="2"/>
    </font>
    <font>
      <b/>
      <sz val="10"/>
      <color rgb="FFFFFFFF"/>
      <name val="Arial"/>
      <family val="2"/>
    </font>
    <font>
      <b/>
      <sz val="9"/>
      <color rgb="FF000000"/>
      <name val="Arial"/>
      <family val="2"/>
    </font>
    <font>
      <sz val="9"/>
      <color rgb="FF333333"/>
      <name val="Arial"/>
      <family val="2"/>
    </font>
    <font>
      <i/>
      <sz val="8"/>
      <color rgb="FF888888"/>
      <name val="Arial"/>
      <family val="2"/>
    </font>
    <font>
      <b/>
      <sz val="13"/>
      <color rgb="FFFFFFFF"/>
      <name val="Arial"/>
      <family val="2"/>
    </font>
    <font>
      <i/>
      <sz val="9"/>
      <color rgb="FFFFFFFF"/>
      <name val="Arial"/>
      <family val="2"/>
    </font>
    <font>
      <b/>
      <i/>
      <sz val="9"/>
      <color rgb="FFFFD700"/>
      <name val="Arial"/>
      <family val="2"/>
    </font>
    <font>
      <b/>
      <sz val="10"/>
      <color rgb="FF000000"/>
      <name val="Arial"/>
      <family val="2"/>
    </font>
    <font>
      <b/>
      <sz val="10"/>
      <color rgb="FF8B6914"/>
      <name val="Arial"/>
      <family val="2"/>
    </font>
    <font>
      <b/>
      <sz val="8"/>
      <color rgb="FFFFFFFF"/>
      <name val="Arial"/>
      <family val="2"/>
    </font>
    <font>
      <sz val="9"/>
      <name val="Arial"/>
      <family val="2"/>
    </font>
    <font>
      <sz val="8"/>
      <name val="Arial"/>
      <family val="2"/>
    </font>
    <font>
      <sz val="11"/>
      <color theme="0"/>
      <name val="Calibri"/>
      <family val="2"/>
      <charset val="1"/>
    </font>
    <font>
      <b/>
      <sz val="11"/>
      <color theme="1"/>
      <name val="Calibri"/>
      <family val="2"/>
    </font>
    <font>
      <b/>
      <sz val="11"/>
      <color theme="0"/>
      <name val="Calibri"/>
      <family val="2"/>
    </font>
    <font>
      <sz val="11"/>
      <color theme="1"/>
      <name val="Calibri"/>
      <family val="2"/>
    </font>
    <font>
      <b/>
      <sz val="11"/>
      <color theme="0" tint="-4.9989318521683403E-2"/>
      <name val="Calibri"/>
      <family val="2"/>
    </font>
    <font>
      <b/>
      <sz val="11"/>
      <color theme="1" tint="4.9989318521683403E-2"/>
      <name val="Calibri"/>
      <family val="2"/>
    </font>
    <font>
      <sz val="11"/>
      <color theme="1" tint="4.9989318521683403E-2"/>
      <name val="Calibri"/>
      <family val="2"/>
    </font>
    <font>
      <sz val="11"/>
      <color theme="0"/>
      <name val="Calibri"/>
      <family val="2"/>
    </font>
  </fonts>
  <fills count="59">
    <fill>
      <patternFill patternType="none"/>
    </fill>
    <fill>
      <patternFill patternType="gray125"/>
    </fill>
    <fill>
      <patternFill patternType="solid">
        <fgColor rgb="FF1F3864"/>
        <bgColor rgb="FF37474F"/>
      </patternFill>
    </fill>
    <fill>
      <patternFill patternType="solid">
        <fgColor rgb="FF2E4D8A"/>
        <bgColor rgb="FF37474F"/>
      </patternFill>
    </fill>
    <fill>
      <patternFill patternType="solid">
        <fgColor rgb="FFFBE9E7"/>
        <bgColor rgb="FFFFEBEE"/>
      </patternFill>
    </fill>
    <fill>
      <patternFill patternType="solid">
        <fgColor rgb="FFEDE7F6"/>
        <bgColor rgb="FFEFEBE9"/>
      </patternFill>
    </fill>
    <fill>
      <patternFill patternType="solid">
        <fgColor rgb="FFE0F2F1"/>
        <bgColor rgb="FFE1F5FE"/>
      </patternFill>
    </fill>
    <fill>
      <patternFill patternType="solid">
        <fgColor rgb="FFE1F5FE"/>
        <bgColor rgb="FFE0F2F1"/>
      </patternFill>
    </fill>
    <fill>
      <patternFill patternType="solid">
        <fgColor rgb="FFFFEBEE"/>
        <bgColor rgb="FFFBE9E7"/>
      </patternFill>
    </fill>
    <fill>
      <patternFill patternType="solid">
        <fgColor rgb="FF37474F"/>
        <bgColor rgb="FF444444"/>
      </patternFill>
    </fill>
    <fill>
      <patternFill patternType="solid">
        <fgColor rgb="FFECEFF1"/>
        <bgColor rgb="FFEEEEEE"/>
      </patternFill>
    </fill>
    <fill>
      <patternFill patternType="solid">
        <fgColor rgb="FFFAFAFA"/>
        <bgColor rgb="FFFFFFFF"/>
      </patternFill>
    </fill>
    <fill>
      <patternFill patternType="solid">
        <fgColor rgb="FFEEEEEE"/>
        <bgColor rgb="FFECEFF1"/>
      </patternFill>
    </fill>
    <fill>
      <patternFill patternType="solid">
        <fgColor rgb="FF5D4037"/>
        <bgColor rgb="FF444444"/>
      </patternFill>
    </fill>
    <fill>
      <patternFill patternType="solid">
        <fgColor rgb="FFEFEBE9"/>
        <bgColor rgb="FFEEEEEE"/>
      </patternFill>
    </fill>
    <fill>
      <patternFill patternType="solid">
        <fgColor rgb="FFFFFFFF"/>
        <bgColor rgb="FFFAFAFA"/>
      </patternFill>
    </fill>
    <fill>
      <patternFill patternType="solid">
        <fgColor rgb="FFFFF9C4"/>
        <bgColor rgb="FFFBE9E7"/>
      </patternFill>
    </fill>
    <fill>
      <patternFill patternType="solid">
        <fgColor rgb="FF4527A0"/>
        <bgColor rgb="FF1F3864"/>
      </patternFill>
    </fill>
    <fill>
      <patternFill patternType="solid">
        <fgColor rgb="FF00695C"/>
        <bgColor rgb="FF008080"/>
      </patternFill>
    </fill>
    <fill>
      <patternFill patternType="solid">
        <fgColor rgb="FF01579B"/>
        <bgColor rgb="FF00695C"/>
      </patternFill>
    </fill>
    <fill>
      <patternFill patternType="solid">
        <fgColor rgb="FFB71C1C"/>
        <bgColor rgb="FFBF360C"/>
      </patternFill>
    </fill>
    <fill>
      <patternFill patternType="solid">
        <fgColor rgb="FF1F3864"/>
        <bgColor rgb="FF333399"/>
      </patternFill>
    </fill>
    <fill>
      <patternFill patternType="solid">
        <fgColor rgb="FF2E75B6"/>
        <bgColor rgb="FF0066CC"/>
      </patternFill>
    </fill>
    <fill>
      <patternFill patternType="solid">
        <fgColor rgb="FF548235"/>
        <bgColor rgb="FF339966"/>
      </patternFill>
    </fill>
    <fill>
      <patternFill patternType="solid">
        <fgColor rgb="FFBF8F00"/>
        <bgColor rgb="FFC55A11"/>
      </patternFill>
    </fill>
    <fill>
      <patternFill patternType="solid">
        <fgColor rgb="FFC55A11"/>
        <bgColor rgb="FFA4373A"/>
      </patternFill>
    </fill>
    <fill>
      <patternFill patternType="solid">
        <fgColor rgb="FF7030A0"/>
        <bgColor rgb="FF333399"/>
      </patternFill>
    </fill>
    <fill>
      <patternFill patternType="solid">
        <fgColor rgb="FF008B8B"/>
        <bgColor rgb="FF008080"/>
      </patternFill>
    </fill>
    <fill>
      <patternFill patternType="solid">
        <fgColor rgb="FFA4373A"/>
        <bgColor rgb="FF993300"/>
      </patternFill>
    </fill>
    <fill>
      <patternFill patternType="solid">
        <fgColor rgb="FF375623"/>
        <bgColor rgb="FF333300"/>
      </patternFill>
    </fill>
    <fill>
      <patternFill patternType="solid">
        <fgColor rgb="FFFFFFFF"/>
        <bgColor rgb="FFF9F9F9"/>
      </patternFill>
    </fill>
    <fill>
      <patternFill patternType="solid">
        <fgColor rgb="FFF9F9F9"/>
        <bgColor rgb="FFFFFFFF"/>
      </patternFill>
    </fill>
    <fill>
      <patternFill patternType="solid">
        <fgColor rgb="FFBDD7EE"/>
        <bgColor rgb="FFA8D5D5"/>
      </patternFill>
    </fill>
    <fill>
      <patternFill patternType="solid">
        <fgColor rgb="FFF0F0F0"/>
        <bgColor rgb="FFF9F9F9"/>
      </patternFill>
    </fill>
    <fill>
      <patternFill patternType="solid">
        <fgColor rgb="FFD5A6F5"/>
        <bgColor rgb="FFF5A8C8"/>
      </patternFill>
    </fill>
    <fill>
      <patternFill patternType="solid">
        <fgColor rgb="FFA8D5D5"/>
        <bgColor rgb="FFBDD7EE"/>
      </patternFill>
    </fill>
    <fill>
      <patternFill patternType="solid">
        <fgColor rgb="FFA8C5A0"/>
        <bgColor rgb="FFBFBFBF"/>
      </patternFill>
    </fill>
    <fill>
      <patternFill patternType="solid">
        <fgColor rgb="FFF5A8C8"/>
        <bgColor rgb="FFD5A6F5"/>
      </patternFill>
    </fill>
    <fill>
      <patternFill patternType="solid">
        <fgColor rgb="FFC6EFCE"/>
        <bgColor rgb="FFCCFFFF"/>
      </patternFill>
    </fill>
    <fill>
      <patternFill patternType="solid">
        <fgColor rgb="FFFFEB9C"/>
        <bgColor rgb="FFF0F0F0"/>
      </patternFill>
    </fill>
    <fill>
      <patternFill patternType="solid">
        <fgColor rgb="FFF4B183"/>
        <bgColor rgb="FFF5A8C8"/>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theme="2"/>
        <bgColor indexed="64"/>
      </patternFill>
    </fill>
    <fill>
      <patternFill patternType="solid">
        <fgColor theme="0"/>
        <bgColor indexed="64"/>
      </patternFill>
    </fill>
    <fill>
      <patternFill patternType="solid">
        <fgColor theme="3" tint="0.59999389629810485"/>
        <bgColor indexed="64"/>
      </patternFill>
    </fill>
    <fill>
      <patternFill patternType="solid">
        <fgColor theme="5" tint="-0.249977111117893"/>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2" tint="-0.749992370372631"/>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3" tint="-0.249977111117893"/>
        <bgColor indexed="64"/>
      </patternFill>
    </fill>
    <fill>
      <patternFill patternType="solid">
        <fgColor theme="0" tint="-0.14999847407452621"/>
        <bgColor indexed="64"/>
      </patternFill>
    </fill>
  </fills>
  <borders count="33">
    <border>
      <left/>
      <right/>
      <top/>
      <bottom/>
      <diagonal/>
    </border>
    <border>
      <left style="medium">
        <color rgb="FF555555"/>
      </left>
      <right/>
      <top style="medium">
        <color rgb="FF555555"/>
      </top>
      <bottom style="medium">
        <color rgb="FF555555"/>
      </bottom>
      <diagonal/>
    </border>
    <border>
      <left style="thin">
        <color rgb="FFBFBFBF"/>
      </left>
      <right style="thin">
        <color rgb="FFBFBFBF"/>
      </right>
      <top style="thin">
        <color rgb="FFBFBFBF"/>
      </top>
      <bottom style="thin">
        <color rgb="FFBFBFBF"/>
      </bottom>
      <diagonal/>
    </border>
    <border>
      <left style="thin">
        <color rgb="FFBFBFBF"/>
      </left>
      <right/>
      <top style="medium">
        <color rgb="FF222222"/>
      </top>
      <bottom style="thin">
        <color rgb="FFBFBFBF"/>
      </bottom>
      <diagonal/>
    </border>
    <border>
      <left style="thin">
        <color rgb="FFBFBFBF"/>
      </left>
      <right/>
      <top style="thin">
        <color rgb="FFBFBFBF"/>
      </top>
      <bottom style="thin">
        <color rgb="FFBFBFBF"/>
      </bottom>
      <diagonal/>
    </border>
    <border>
      <left style="thin">
        <color rgb="FFBFBFBF"/>
      </left>
      <right/>
      <top style="medium">
        <color rgb="FF333333"/>
      </top>
      <bottom style="medium">
        <color rgb="FF333333"/>
      </bottom>
      <diagonal/>
    </border>
    <border>
      <left style="thin">
        <color rgb="FFBFBFBF"/>
      </left>
      <right style="thin">
        <color rgb="FFBFBFBF"/>
      </right>
      <top style="thin">
        <color rgb="FFBFBFBF"/>
      </top>
      <bottom/>
      <diagonal/>
    </border>
    <border>
      <left style="thin">
        <color rgb="FFBFBFBF"/>
      </left>
      <right style="medium">
        <color rgb="FF888888"/>
      </right>
      <top style="thin">
        <color rgb="FFBFBFBF"/>
      </top>
      <bottom style="thin">
        <color rgb="FFBFBFB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235">
    <xf numFmtId="0" fontId="0" fillId="0" borderId="0" xfId="0"/>
    <xf numFmtId="0" fontId="3" fillId="2" borderId="2" xfId="0" applyFont="1" applyFill="1" applyBorder="1" applyAlignment="1">
      <alignment horizontal="center" vertical="center"/>
    </xf>
    <xf numFmtId="0" fontId="4" fillId="4" borderId="2" xfId="0" applyFont="1" applyFill="1" applyBorder="1" applyAlignment="1">
      <alignment horizontal="left" vertical="center" indent="1"/>
    </xf>
    <xf numFmtId="0" fontId="5" fillId="4" borderId="2" xfId="0" applyFont="1" applyFill="1" applyBorder="1" applyAlignment="1">
      <alignment horizontal="left" vertical="center" indent="1"/>
    </xf>
    <xf numFmtId="0" fontId="5" fillId="4" borderId="2" xfId="0" applyFont="1" applyFill="1" applyBorder="1" applyAlignment="1">
      <alignment horizontal="center" vertical="center"/>
    </xf>
    <xf numFmtId="164" fontId="5" fillId="4" borderId="2" xfId="0" applyNumberFormat="1" applyFont="1" applyFill="1" applyBorder="1" applyAlignment="1">
      <alignment horizontal="center" vertical="center"/>
    </xf>
    <xf numFmtId="165" fontId="5" fillId="4" borderId="2" xfId="0" applyNumberFormat="1" applyFont="1" applyFill="1" applyBorder="1" applyAlignment="1">
      <alignment horizontal="center" vertical="center"/>
    </xf>
    <xf numFmtId="0" fontId="6" fillId="5" borderId="2" xfId="0" applyFont="1" applyFill="1" applyBorder="1" applyAlignment="1">
      <alignment horizontal="left" vertical="center" indent="1"/>
    </xf>
    <xf numFmtId="0" fontId="5" fillId="5" borderId="2" xfId="0" applyFont="1" applyFill="1" applyBorder="1" applyAlignment="1">
      <alignment horizontal="left" vertical="center" indent="1"/>
    </xf>
    <xf numFmtId="0" fontId="5" fillId="5" borderId="2" xfId="0" applyFont="1" applyFill="1" applyBorder="1" applyAlignment="1">
      <alignment horizontal="center" vertical="center"/>
    </xf>
    <xf numFmtId="164" fontId="5" fillId="5" borderId="2" xfId="0" applyNumberFormat="1" applyFont="1" applyFill="1" applyBorder="1" applyAlignment="1">
      <alignment horizontal="center" vertical="center"/>
    </xf>
    <xf numFmtId="165" fontId="5" fillId="5" borderId="2" xfId="0" applyNumberFormat="1" applyFont="1" applyFill="1" applyBorder="1" applyAlignment="1">
      <alignment horizontal="center" vertical="center"/>
    </xf>
    <xf numFmtId="0" fontId="7" fillId="6" borderId="2" xfId="0" applyFont="1" applyFill="1" applyBorder="1" applyAlignment="1">
      <alignment horizontal="left" vertical="center" indent="1"/>
    </xf>
    <xf numFmtId="0" fontId="5" fillId="6" borderId="2" xfId="0" applyFont="1" applyFill="1" applyBorder="1" applyAlignment="1">
      <alignment horizontal="left" vertical="center" indent="1"/>
    </xf>
    <xf numFmtId="0" fontId="5" fillId="6" borderId="2" xfId="0" applyFont="1" applyFill="1" applyBorder="1" applyAlignment="1">
      <alignment horizontal="center" vertical="center"/>
    </xf>
    <xf numFmtId="164" fontId="5" fillId="6" borderId="2" xfId="0" applyNumberFormat="1" applyFont="1" applyFill="1" applyBorder="1" applyAlignment="1">
      <alignment horizontal="center" vertical="center"/>
    </xf>
    <xf numFmtId="165" fontId="5" fillId="6" borderId="2" xfId="0" applyNumberFormat="1" applyFont="1" applyFill="1" applyBorder="1" applyAlignment="1">
      <alignment horizontal="center" vertical="center"/>
    </xf>
    <xf numFmtId="0" fontId="8" fillId="7" borderId="2" xfId="0" applyFont="1" applyFill="1" applyBorder="1" applyAlignment="1">
      <alignment horizontal="left" vertical="center" indent="1"/>
    </xf>
    <xf numFmtId="0" fontId="5" fillId="7" borderId="2" xfId="0" applyFont="1" applyFill="1" applyBorder="1" applyAlignment="1">
      <alignment horizontal="left" vertical="center" indent="1"/>
    </xf>
    <xf numFmtId="0" fontId="5" fillId="7" borderId="2" xfId="0" applyFont="1" applyFill="1" applyBorder="1" applyAlignment="1">
      <alignment horizontal="center" vertical="center"/>
    </xf>
    <xf numFmtId="164" fontId="5" fillId="7" borderId="2" xfId="0" applyNumberFormat="1" applyFont="1" applyFill="1" applyBorder="1" applyAlignment="1">
      <alignment horizontal="center" vertical="center"/>
    </xf>
    <xf numFmtId="165" fontId="5" fillId="7" borderId="2" xfId="0" applyNumberFormat="1" applyFont="1" applyFill="1" applyBorder="1" applyAlignment="1">
      <alignment horizontal="center" vertical="center"/>
    </xf>
    <xf numFmtId="0" fontId="9" fillId="8" borderId="2" xfId="0" applyFont="1" applyFill="1" applyBorder="1" applyAlignment="1">
      <alignment horizontal="left" vertical="center" indent="1"/>
    </xf>
    <xf numFmtId="0" fontId="5" fillId="8" borderId="2" xfId="0" applyFont="1" applyFill="1" applyBorder="1" applyAlignment="1">
      <alignment horizontal="left" vertical="center" indent="1"/>
    </xf>
    <xf numFmtId="0" fontId="5" fillId="8" borderId="2" xfId="0" applyFont="1" applyFill="1" applyBorder="1" applyAlignment="1">
      <alignment horizontal="center" vertical="center"/>
    </xf>
    <xf numFmtId="164" fontId="5" fillId="8" borderId="2" xfId="0" applyNumberFormat="1" applyFont="1" applyFill="1" applyBorder="1" applyAlignment="1">
      <alignment horizontal="center" vertical="center"/>
    </xf>
    <xf numFmtId="165" fontId="5" fillId="8" borderId="2" xfId="0" applyNumberFormat="1" applyFont="1" applyFill="1" applyBorder="1" applyAlignment="1">
      <alignment horizontal="center" vertical="center"/>
    </xf>
    <xf numFmtId="0" fontId="11" fillId="10" borderId="2" xfId="0" applyFont="1" applyFill="1" applyBorder="1" applyAlignment="1">
      <alignment horizontal="left" vertical="top" indent="1"/>
    </xf>
    <xf numFmtId="0" fontId="3" fillId="13" borderId="2" xfId="0" applyFont="1" applyFill="1" applyBorder="1" applyAlignment="1">
      <alignment horizontal="left" vertical="center" indent="1"/>
    </xf>
    <xf numFmtId="0" fontId="3" fillId="13" borderId="2" xfId="0" applyFont="1" applyFill="1" applyBorder="1" applyAlignment="1">
      <alignment horizontal="center" vertical="center"/>
    </xf>
    <xf numFmtId="0" fontId="16" fillId="13" borderId="2" xfId="0" applyFont="1" applyFill="1" applyBorder="1" applyAlignment="1">
      <alignment horizontal="center" vertical="center"/>
    </xf>
    <xf numFmtId="0" fontId="11" fillId="14" borderId="2" xfId="0" applyFont="1" applyFill="1" applyBorder="1" applyAlignment="1">
      <alignment horizontal="left" vertical="center" indent="1"/>
    </xf>
    <xf numFmtId="165" fontId="17" fillId="15" borderId="2" xfId="0" applyNumberFormat="1" applyFont="1" applyFill="1" applyBorder="1" applyAlignment="1">
      <alignment horizontal="center" vertical="center"/>
    </xf>
    <xf numFmtId="165" fontId="18" fillId="16" borderId="2" xfId="0" applyNumberFormat="1" applyFont="1" applyFill="1" applyBorder="1" applyAlignment="1">
      <alignment horizontal="center" vertical="center"/>
    </xf>
    <xf numFmtId="0" fontId="3" fillId="17" borderId="2" xfId="0" applyFont="1" applyFill="1" applyBorder="1" applyAlignment="1">
      <alignment horizontal="left" vertical="center" indent="1"/>
    </xf>
    <xf numFmtId="0" fontId="3" fillId="17" borderId="2" xfId="0" applyFont="1" applyFill="1" applyBorder="1" applyAlignment="1">
      <alignment horizontal="center" vertical="center"/>
    </xf>
    <xf numFmtId="0" fontId="16" fillId="17" borderId="2" xfId="0" applyFont="1" applyFill="1" applyBorder="1" applyAlignment="1">
      <alignment horizontal="center" vertical="center"/>
    </xf>
    <xf numFmtId="0" fontId="11" fillId="5" borderId="2" xfId="0" applyFont="1" applyFill="1" applyBorder="1" applyAlignment="1">
      <alignment horizontal="left" vertical="center" indent="1"/>
    </xf>
    <xf numFmtId="0" fontId="3" fillId="18" borderId="2" xfId="0" applyFont="1" applyFill="1" applyBorder="1" applyAlignment="1">
      <alignment horizontal="left" vertical="center" indent="1"/>
    </xf>
    <xf numFmtId="0" fontId="3" fillId="18" borderId="2" xfId="0" applyFont="1" applyFill="1" applyBorder="1" applyAlignment="1">
      <alignment horizontal="center" vertical="center"/>
    </xf>
    <xf numFmtId="0" fontId="16" fillId="18" borderId="2" xfId="0" applyFont="1" applyFill="1" applyBorder="1" applyAlignment="1">
      <alignment horizontal="center" vertical="center"/>
    </xf>
    <xf numFmtId="0" fontId="11" fillId="6" borderId="2" xfId="0" applyFont="1" applyFill="1" applyBorder="1" applyAlignment="1">
      <alignment horizontal="left" vertical="center" indent="1"/>
    </xf>
    <xf numFmtId="0" fontId="3" fillId="19" borderId="2" xfId="0" applyFont="1" applyFill="1" applyBorder="1" applyAlignment="1">
      <alignment horizontal="left" vertical="center" indent="1"/>
    </xf>
    <xf numFmtId="0" fontId="3" fillId="19" borderId="2" xfId="0" applyFont="1" applyFill="1" applyBorder="1" applyAlignment="1">
      <alignment horizontal="center" vertical="center"/>
    </xf>
    <xf numFmtId="0" fontId="16" fillId="19" borderId="2" xfId="0" applyFont="1" applyFill="1" applyBorder="1" applyAlignment="1">
      <alignment horizontal="center" vertical="center"/>
    </xf>
    <xf numFmtId="0" fontId="11" fillId="7" borderId="2" xfId="0" applyFont="1" applyFill="1" applyBorder="1" applyAlignment="1">
      <alignment horizontal="left" vertical="center" indent="1"/>
    </xf>
    <xf numFmtId="0" fontId="3" fillId="20" borderId="2" xfId="0" applyFont="1" applyFill="1" applyBorder="1" applyAlignment="1">
      <alignment horizontal="left" vertical="center" indent="1"/>
    </xf>
    <xf numFmtId="0" fontId="3" fillId="20" borderId="2" xfId="0" applyFont="1" applyFill="1" applyBorder="1" applyAlignment="1">
      <alignment horizontal="center" vertical="center"/>
    </xf>
    <xf numFmtId="0" fontId="16" fillId="20" borderId="2" xfId="0" applyFont="1" applyFill="1" applyBorder="1" applyAlignment="1">
      <alignment horizontal="center" vertical="center"/>
    </xf>
    <xf numFmtId="0" fontId="11" fillId="8" borderId="2" xfId="0" applyFont="1" applyFill="1" applyBorder="1" applyAlignment="1">
      <alignment horizontal="left" vertical="center" indent="1"/>
    </xf>
    <xf numFmtId="0" fontId="19" fillId="22" borderId="2" xfId="0" applyFont="1" applyFill="1" applyBorder="1" applyAlignment="1">
      <alignment horizontal="center" vertical="center"/>
    </xf>
    <xf numFmtId="0" fontId="19" fillId="22" borderId="7" xfId="0" applyFont="1" applyFill="1" applyBorder="1" applyAlignment="1">
      <alignment horizontal="center" vertical="center"/>
    </xf>
    <xf numFmtId="0" fontId="19" fillId="23" borderId="2" xfId="0" applyFont="1" applyFill="1" applyBorder="1" applyAlignment="1">
      <alignment horizontal="center" vertical="center"/>
    </xf>
    <xf numFmtId="0" fontId="19" fillId="23" borderId="7" xfId="0" applyFont="1" applyFill="1" applyBorder="1" applyAlignment="1">
      <alignment horizontal="center" vertical="center"/>
    </xf>
    <xf numFmtId="0" fontId="19" fillId="24" borderId="2" xfId="0" applyFont="1" applyFill="1" applyBorder="1" applyAlignment="1">
      <alignment horizontal="center" vertical="center"/>
    </xf>
    <xf numFmtId="0" fontId="19" fillId="24" borderId="7" xfId="0" applyFont="1" applyFill="1" applyBorder="1" applyAlignment="1">
      <alignment horizontal="center" vertical="center"/>
    </xf>
    <xf numFmtId="0" fontId="19" fillId="25" borderId="2" xfId="0" applyFont="1" applyFill="1" applyBorder="1" applyAlignment="1">
      <alignment horizontal="center" vertical="center"/>
    </xf>
    <xf numFmtId="0" fontId="19" fillId="25" borderId="7" xfId="0" applyFont="1" applyFill="1" applyBorder="1" applyAlignment="1">
      <alignment horizontal="center" vertical="center"/>
    </xf>
    <xf numFmtId="0" fontId="19" fillId="26" borderId="2" xfId="0" applyFont="1" applyFill="1" applyBorder="1" applyAlignment="1">
      <alignment horizontal="center" vertical="center"/>
    </xf>
    <xf numFmtId="0" fontId="19" fillId="26" borderId="7" xfId="0" applyFont="1" applyFill="1" applyBorder="1" applyAlignment="1">
      <alignment horizontal="center" vertical="center"/>
    </xf>
    <xf numFmtId="0" fontId="19" fillId="27" borderId="2" xfId="0" applyFont="1" applyFill="1" applyBorder="1" applyAlignment="1">
      <alignment horizontal="center" vertical="center"/>
    </xf>
    <xf numFmtId="0" fontId="19" fillId="27" borderId="7" xfId="0" applyFont="1" applyFill="1" applyBorder="1" applyAlignment="1">
      <alignment horizontal="center" vertical="center"/>
    </xf>
    <xf numFmtId="0" fontId="19" fillId="28" borderId="2" xfId="0" applyFont="1" applyFill="1" applyBorder="1" applyAlignment="1">
      <alignment horizontal="center" vertical="center"/>
    </xf>
    <xf numFmtId="0" fontId="19" fillId="28" borderId="7" xfId="0" applyFont="1" applyFill="1" applyBorder="1" applyAlignment="1">
      <alignment horizontal="center" vertical="center"/>
    </xf>
    <xf numFmtId="0" fontId="19" fillId="29" borderId="2" xfId="0" applyFont="1" applyFill="1" applyBorder="1" applyAlignment="1">
      <alignment horizontal="center" vertical="center"/>
    </xf>
    <xf numFmtId="0" fontId="19" fillId="29" borderId="7" xfId="0" applyFont="1" applyFill="1" applyBorder="1" applyAlignment="1">
      <alignment horizontal="center" vertical="center"/>
    </xf>
    <xf numFmtId="0" fontId="20" fillId="30" borderId="2" xfId="0" applyFont="1" applyFill="1" applyBorder="1" applyAlignment="1">
      <alignment horizontal="center" vertical="center"/>
    </xf>
    <xf numFmtId="0" fontId="21" fillId="31" borderId="2" xfId="0" applyFont="1" applyFill="1" applyBorder="1" applyAlignment="1">
      <alignment horizontal="right" vertical="center"/>
    </xf>
    <xf numFmtId="166" fontId="21" fillId="32" borderId="2" xfId="0" applyNumberFormat="1" applyFont="1" applyFill="1" applyBorder="1" applyAlignment="1">
      <alignment horizontal="right" vertical="center"/>
    </xf>
    <xf numFmtId="0" fontId="21" fillId="31" borderId="7" xfId="0" applyFont="1" applyFill="1" applyBorder="1" applyAlignment="1">
      <alignment horizontal="right" vertical="center"/>
    </xf>
    <xf numFmtId="0" fontId="20" fillId="33" borderId="2" xfId="0" applyFont="1" applyFill="1" applyBorder="1" applyAlignment="1">
      <alignment horizontal="center" vertical="center"/>
    </xf>
    <xf numFmtId="166" fontId="21" fillId="34" borderId="2" xfId="0" applyNumberFormat="1" applyFont="1" applyFill="1" applyBorder="1" applyAlignment="1">
      <alignment horizontal="right" vertical="center"/>
    </xf>
    <xf numFmtId="166" fontId="21" fillId="35" borderId="2" xfId="0" applyNumberFormat="1" applyFont="1" applyFill="1" applyBorder="1" applyAlignment="1">
      <alignment horizontal="right" vertical="center"/>
    </xf>
    <xf numFmtId="166" fontId="21" fillId="36" borderId="2" xfId="0" applyNumberFormat="1" applyFont="1" applyFill="1" applyBorder="1" applyAlignment="1">
      <alignment horizontal="right" vertical="center"/>
    </xf>
    <xf numFmtId="166" fontId="21" fillId="35" borderId="7" xfId="0" applyNumberFormat="1" applyFont="1" applyFill="1" applyBorder="1" applyAlignment="1">
      <alignment horizontal="right" vertical="center"/>
    </xf>
    <xf numFmtId="166" fontId="21" fillId="37" borderId="2" xfId="0" applyNumberFormat="1" applyFont="1" applyFill="1" applyBorder="1" applyAlignment="1">
      <alignment horizontal="right" vertical="center"/>
    </xf>
    <xf numFmtId="166" fontId="21" fillId="37" borderId="7" xfId="0" applyNumberFormat="1" applyFont="1" applyFill="1" applyBorder="1" applyAlignment="1">
      <alignment horizontal="right" vertical="center"/>
    </xf>
    <xf numFmtId="166" fontId="21" fillId="38" borderId="2" xfId="0" applyNumberFormat="1" applyFont="1" applyFill="1" applyBorder="1" applyAlignment="1">
      <alignment horizontal="right" vertical="center"/>
    </xf>
    <xf numFmtId="166" fontId="21" fillId="38" borderId="7" xfId="0" applyNumberFormat="1" applyFont="1" applyFill="1" applyBorder="1" applyAlignment="1">
      <alignment horizontal="right" vertical="center"/>
    </xf>
    <xf numFmtId="166" fontId="21" fillId="39" borderId="2" xfId="0" applyNumberFormat="1" applyFont="1" applyFill="1" applyBorder="1" applyAlignment="1">
      <alignment horizontal="right" vertical="center"/>
    </xf>
    <xf numFmtId="166" fontId="21" fillId="32" borderId="7" xfId="0" applyNumberFormat="1" applyFont="1" applyFill="1" applyBorder="1" applyAlignment="1">
      <alignment horizontal="right" vertical="center"/>
    </xf>
    <xf numFmtId="166" fontId="21" fillId="39" borderId="7" xfId="0" applyNumberFormat="1" applyFont="1" applyFill="1" applyBorder="1" applyAlignment="1">
      <alignment horizontal="right" vertical="center"/>
    </xf>
    <xf numFmtId="166" fontId="21" fillId="34" borderId="7" xfId="0" applyNumberFormat="1" applyFont="1" applyFill="1" applyBorder="1" applyAlignment="1">
      <alignment horizontal="right" vertical="center"/>
    </xf>
    <xf numFmtId="166" fontId="21" fillId="40" borderId="2" xfId="0" applyNumberFormat="1" applyFont="1" applyFill="1" applyBorder="1" applyAlignment="1">
      <alignment horizontal="right" vertical="center"/>
    </xf>
    <xf numFmtId="166" fontId="21" fillId="40" borderId="7" xfId="0" applyNumberFormat="1" applyFont="1" applyFill="1" applyBorder="1" applyAlignment="1">
      <alignment horizontal="right" vertical="center"/>
    </xf>
    <xf numFmtId="166" fontId="21" fillId="36" borderId="7" xfId="0" applyNumberFormat="1" applyFont="1" applyFill="1" applyBorder="1" applyAlignment="1">
      <alignment horizontal="right" vertical="center"/>
    </xf>
    <xf numFmtId="0" fontId="22" fillId="42" borderId="8" xfId="0" applyFont="1" applyFill="1" applyBorder="1"/>
    <xf numFmtId="0" fontId="0" fillId="0" borderId="11" xfId="0" applyBorder="1"/>
    <xf numFmtId="0" fontId="0" fillId="0" borderId="16" xfId="0" applyBorder="1"/>
    <xf numFmtId="0" fontId="0" fillId="0" borderId="17" xfId="0" applyBorder="1"/>
    <xf numFmtId="0" fontId="0" fillId="44" borderId="14" xfId="0" applyFill="1" applyBorder="1"/>
    <xf numFmtId="0" fontId="0" fillId="0" borderId="14" xfId="0" applyBorder="1"/>
    <xf numFmtId="0" fontId="22" fillId="43" borderId="16" xfId="0" applyFont="1" applyFill="1" applyBorder="1"/>
    <xf numFmtId="0" fontId="0" fillId="44" borderId="16" xfId="0" applyFill="1" applyBorder="1"/>
    <xf numFmtId="0" fontId="0" fillId="44" borderId="17" xfId="0" applyFill="1" applyBorder="1"/>
    <xf numFmtId="16" fontId="22" fillId="42" borderId="11" xfId="0" applyNumberFormat="1" applyFont="1" applyFill="1" applyBorder="1"/>
    <xf numFmtId="0" fontId="22" fillId="42" borderId="11" xfId="0" applyFont="1" applyFill="1" applyBorder="1"/>
    <xf numFmtId="0" fontId="22" fillId="42" borderId="12" xfId="0" applyFont="1" applyFill="1" applyBorder="1"/>
    <xf numFmtId="0" fontId="0" fillId="44" borderId="21" xfId="0" applyFill="1" applyBorder="1"/>
    <xf numFmtId="2" fontId="0" fillId="0" borderId="16" xfId="0" applyNumberFormat="1" applyBorder="1"/>
    <xf numFmtId="0" fontId="22" fillId="43" borderId="11" xfId="0" applyFont="1" applyFill="1" applyBorder="1" applyAlignment="1">
      <alignment horizontal="left"/>
    </xf>
    <xf numFmtId="0" fontId="22" fillId="43" borderId="12" xfId="0" applyFont="1" applyFill="1" applyBorder="1" applyAlignment="1">
      <alignment horizontal="left"/>
    </xf>
    <xf numFmtId="0" fontId="24" fillId="47" borderId="22" xfId="0" applyFont="1" applyFill="1" applyBorder="1" applyAlignment="1">
      <alignment horizontal="center"/>
    </xf>
    <xf numFmtId="0" fontId="25" fillId="49" borderId="14" xfId="0" applyFont="1" applyFill="1" applyBorder="1"/>
    <xf numFmtId="0" fontId="25" fillId="46" borderId="0" xfId="0" applyFont="1" applyFill="1"/>
    <xf numFmtId="0" fontId="0" fillId="45" borderId="14" xfId="0" applyFill="1" applyBorder="1"/>
    <xf numFmtId="0" fontId="25" fillId="50" borderId="16" xfId="0" applyFont="1" applyFill="1" applyBorder="1"/>
    <xf numFmtId="0" fontId="0" fillId="45" borderId="16" xfId="0" applyFill="1" applyBorder="1"/>
    <xf numFmtId="0" fontId="0" fillId="45" borderId="17" xfId="0" applyFill="1" applyBorder="1"/>
    <xf numFmtId="2" fontId="0" fillId="0" borderId="20" xfId="0" applyNumberFormat="1" applyBorder="1"/>
    <xf numFmtId="2" fontId="0" fillId="0" borderId="21" xfId="0" applyNumberFormat="1" applyBorder="1"/>
    <xf numFmtId="0" fontId="0" fillId="0" borderId="10" xfId="0" applyBorder="1" applyAlignment="1">
      <alignment horizontal="center"/>
    </xf>
    <xf numFmtId="0" fontId="25" fillId="46" borderId="16" xfId="0" applyFont="1" applyFill="1" applyBorder="1"/>
    <xf numFmtId="0" fontId="24" fillId="51" borderId="11" xfId="0" applyFont="1" applyFill="1" applyBorder="1" applyAlignment="1">
      <alignment horizontal="center" vertical="center" wrapText="1"/>
    </xf>
    <xf numFmtId="0" fontId="24" fillId="43" borderId="11" xfId="0" applyFont="1" applyFill="1" applyBorder="1" applyAlignment="1">
      <alignment horizontal="center" vertical="center" wrapText="1"/>
    </xf>
    <xf numFmtId="0" fontId="24" fillId="41" borderId="11" xfId="0" applyFont="1" applyFill="1" applyBorder="1" applyAlignment="1">
      <alignment horizontal="center" vertical="center" wrapText="1"/>
    </xf>
    <xf numFmtId="0" fontId="24" fillId="47" borderId="12" xfId="0" applyFont="1" applyFill="1" applyBorder="1" applyAlignment="1">
      <alignment horizontal="center" vertical="center" wrapText="1"/>
    </xf>
    <xf numFmtId="2" fontId="0" fillId="0" borderId="0" xfId="0" applyNumberFormat="1"/>
    <xf numFmtId="0" fontId="28" fillId="49" borderId="14" xfId="0" applyFont="1" applyFill="1" applyBorder="1"/>
    <xf numFmtId="2" fontId="0" fillId="45" borderId="23" xfId="0" applyNumberFormat="1" applyFill="1" applyBorder="1"/>
    <xf numFmtId="2" fontId="0" fillId="44" borderId="18" xfId="0" applyNumberFormat="1" applyFill="1" applyBorder="1"/>
    <xf numFmtId="165" fontId="0" fillId="44" borderId="14" xfId="0" applyNumberFormat="1" applyFill="1" applyBorder="1"/>
    <xf numFmtId="165" fontId="0" fillId="44" borderId="17" xfId="0" applyNumberFormat="1" applyFill="1" applyBorder="1"/>
    <xf numFmtId="0" fontId="24" fillId="54" borderId="11" xfId="0" applyFont="1" applyFill="1" applyBorder="1" applyAlignment="1">
      <alignment horizontal="center" vertical="center" wrapText="1"/>
    </xf>
    <xf numFmtId="0" fontId="0" fillId="0" borderId="13" xfId="0" applyBorder="1" applyAlignment="1">
      <alignment horizontal="center"/>
    </xf>
    <xf numFmtId="0" fontId="23" fillId="46" borderId="13" xfId="0" applyFont="1" applyFill="1" applyBorder="1" applyAlignment="1">
      <alignment horizontal="center" vertical="center" wrapText="1"/>
    </xf>
    <xf numFmtId="0" fontId="23" fillId="46" borderId="15" xfId="0" applyFont="1" applyFill="1" applyBorder="1" applyAlignment="1">
      <alignment horizontal="center" vertical="center" wrapText="1"/>
    </xf>
    <xf numFmtId="0" fontId="23" fillId="50" borderId="13" xfId="0" applyFont="1" applyFill="1" applyBorder="1" applyAlignment="1">
      <alignment horizontal="center" vertical="center" wrapText="1"/>
    </xf>
    <xf numFmtId="0" fontId="23" fillId="50" borderId="15" xfId="0" applyFont="1" applyFill="1" applyBorder="1" applyAlignment="1">
      <alignment horizontal="center" vertical="center" wrapText="1"/>
    </xf>
    <xf numFmtId="0" fontId="23" fillId="50" borderId="16" xfId="0" applyFont="1" applyFill="1" applyBorder="1" applyAlignment="1">
      <alignment horizontal="center" vertical="center" wrapText="1"/>
    </xf>
    <xf numFmtId="0" fontId="24" fillId="43" borderId="13" xfId="0" applyFont="1" applyFill="1" applyBorder="1" applyAlignment="1">
      <alignment horizontal="center" vertical="center" wrapText="1"/>
    </xf>
    <xf numFmtId="0" fontId="24" fillId="43" borderId="15" xfId="0" applyFont="1" applyFill="1" applyBorder="1" applyAlignment="1">
      <alignment horizontal="center" vertical="center" wrapText="1"/>
    </xf>
    <xf numFmtId="0" fontId="24" fillId="42" borderId="10" xfId="0" applyFont="1" applyFill="1" applyBorder="1" applyAlignment="1">
      <alignment horizontal="center"/>
    </xf>
    <xf numFmtId="0" fontId="24" fillId="42" borderId="11" xfId="0" applyFont="1" applyFill="1" applyBorder="1" applyAlignment="1">
      <alignment horizontal="center"/>
    </xf>
    <xf numFmtId="0" fontId="23" fillId="46" borderId="15" xfId="0" applyFont="1" applyFill="1" applyBorder="1" applyAlignment="1">
      <alignment horizontal="center" wrapText="1"/>
    </xf>
    <xf numFmtId="0" fontId="23" fillId="46" borderId="16" xfId="0" applyFont="1" applyFill="1" applyBorder="1" applyAlignment="1">
      <alignment horizontal="center" wrapText="1"/>
    </xf>
    <xf numFmtId="0" fontId="23" fillId="46" borderId="16" xfId="0" applyFont="1" applyFill="1" applyBorder="1" applyAlignment="1">
      <alignment horizontal="center"/>
    </xf>
    <xf numFmtId="0" fontId="24" fillId="43" borderId="10" xfId="0" applyFont="1" applyFill="1" applyBorder="1" applyAlignment="1">
      <alignment horizontal="center"/>
    </xf>
    <xf numFmtId="0" fontId="24" fillId="43" borderId="11" xfId="0" applyFont="1" applyFill="1" applyBorder="1" applyAlignment="1">
      <alignment horizontal="center"/>
    </xf>
    <xf numFmtId="0" fontId="23" fillId="53" borderId="13" xfId="0" applyFont="1" applyFill="1" applyBorder="1" applyAlignment="1">
      <alignment horizontal="center" wrapText="1"/>
    </xf>
    <xf numFmtId="0" fontId="23" fillId="53" borderId="0" xfId="0" applyFont="1" applyFill="1" applyAlignment="1">
      <alignment horizontal="center"/>
    </xf>
    <xf numFmtId="0" fontId="23" fillId="52" borderId="19" xfId="0" applyFont="1" applyFill="1" applyBorder="1" applyAlignment="1">
      <alignment horizontal="center"/>
    </xf>
    <xf numFmtId="0" fontId="23" fillId="52" borderId="20" xfId="0" applyFont="1" applyFill="1" applyBorder="1" applyAlignment="1">
      <alignment horizontal="center"/>
    </xf>
    <xf numFmtId="0" fontId="23" fillId="46" borderId="19" xfId="0" applyFont="1" applyFill="1" applyBorder="1" applyAlignment="1">
      <alignment horizontal="center"/>
    </xf>
    <xf numFmtId="0" fontId="23" fillId="46" borderId="20" xfId="0" applyFont="1" applyFill="1" applyBorder="1" applyAlignment="1">
      <alignment horizontal="center"/>
    </xf>
    <xf numFmtId="0" fontId="23" fillId="0" borderId="0" xfId="0" applyFont="1" applyAlignment="1">
      <alignment horizontal="center"/>
    </xf>
    <xf numFmtId="0" fontId="24" fillId="42" borderId="12" xfId="0" applyFont="1" applyFill="1" applyBorder="1" applyAlignment="1">
      <alignment horizontal="center"/>
    </xf>
    <xf numFmtId="0" fontId="23" fillId="46" borderId="15" xfId="0" applyFont="1" applyFill="1" applyBorder="1" applyAlignment="1">
      <alignment horizontal="center"/>
    </xf>
    <xf numFmtId="0" fontId="10" fillId="22" borderId="4" xfId="0" applyFont="1" applyFill="1" applyBorder="1" applyAlignment="1">
      <alignment horizontal="center" vertical="center"/>
    </xf>
    <xf numFmtId="0" fontId="3" fillId="21" borderId="6" xfId="0" applyFont="1" applyFill="1" applyBorder="1" applyAlignment="1">
      <alignment horizontal="center" vertical="center" wrapText="1"/>
    </xf>
    <xf numFmtId="0" fontId="10" fillId="29" borderId="4" xfId="0" applyFont="1" applyFill="1" applyBorder="1" applyAlignment="1">
      <alignment horizontal="center" vertical="center"/>
    </xf>
    <xf numFmtId="0" fontId="10" fillId="23" borderId="4" xfId="0" applyFont="1" applyFill="1" applyBorder="1" applyAlignment="1">
      <alignment horizontal="center" vertical="center"/>
    </xf>
    <xf numFmtId="0" fontId="10" fillId="24" borderId="4" xfId="0" applyFont="1" applyFill="1" applyBorder="1" applyAlignment="1">
      <alignment horizontal="center" vertical="center"/>
    </xf>
    <xf numFmtId="0" fontId="10" fillId="25" borderId="4" xfId="0" applyFont="1" applyFill="1" applyBorder="1" applyAlignment="1">
      <alignment horizontal="center" vertical="center"/>
    </xf>
    <xf numFmtId="0" fontId="10" fillId="26" borderId="4" xfId="0" applyFont="1" applyFill="1" applyBorder="1" applyAlignment="1">
      <alignment horizontal="center" vertical="center"/>
    </xf>
    <xf numFmtId="0" fontId="10" fillId="27" borderId="4" xfId="0" applyFont="1" applyFill="1" applyBorder="1" applyAlignment="1">
      <alignment horizontal="center" vertical="center"/>
    </xf>
    <xf numFmtId="0" fontId="10" fillId="28" borderId="4" xfId="0" applyFont="1" applyFill="1" applyBorder="1" applyAlignment="1">
      <alignment horizontal="center" vertical="center"/>
    </xf>
    <xf numFmtId="0" fontId="22" fillId="41" borderId="0" xfId="0" applyFont="1" applyFill="1" applyAlignment="1">
      <alignment horizontal="center"/>
    </xf>
    <xf numFmtId="0" fontId="13" fillId="12" borderId="0" xfId="0" applyFont="1" applyFill="1" applyAlignment="1">
      <alignment horizontal="left" vertical="center" wrapText="1" indent="1"/>
    </xf>
    <xf numFmtId="0" fontId="1" fillId="2" borderId="1" xfId="0" applyFont="1" applyFill="1" applyBorder="1" applyAlignment="1">
      <alignment horizontal="left" vertical="center" indent="1"/>
    </xf>
    <xf numFmtId="0" fontId="2" fillId="3" borderId="0" xfId="0" applyFont="1" applyFill="1" applyAlignment="1">
      <alignment horizontal="left" vertical="center" indent="1"/>
    </xf>
    <xf numFmtId="0" fontId="10" fillId="9" borderId="3" xfId="0" applyFont="1" applyFill="1" applyBorder="1" applyAlignment="1">
      <alignment horizontal="left" vertical="center" indent="1"/>
    </xf>
    <xf numFmtId="0" fontId="12" fillId="11" borderId="4" xfId="0" applyFont="1" applyFill="1" applyBorder="1" applyAlignment="1">
      <alignment horizontal="left" vertical="top" wrapText="1" indent="1"/>
    </xf>
    <xf numFmtId="0" fontId="13" fillId="12" borderId="0" xfId="0" applyFont="1" applyFill="1" applyAlignment="1">
      <alignment horizontal="left" vertical="center" indent="1"/>
    </xf>
    <xf numFmtId="0" fontId="14" fillId="13" borderId="1" xfId="0" applyFont="1" applyFill="1" applyBorder="1" applyAlignment="1">
      <alignment horizontal="left" vertical="center" indent="1"/>
    </xf>
    <xf numFmtId="0" fontId="15" fillId="13" borderId="0" xfId="0" applyFont="1" applyFill="1" applyAlignment="1">
      <alignment horizontal="left" vertical="center" indent="1"/>
    </xf>
    <xf numFmtId="0" fontId="10" fillId="13" borderId="5" xfId="0" applyFont="1" applyFill="1" applyBorder="1" applyAlignment="1">
      <alignment horizontal="left" vertical="center" indent="1"/>
    </xf>
    <xf numFmtId="0" fontId="14" fillId="17" borderId="1" xfId="0" applyFont="1" applyFill="1" applyBorder="1" applyAlignment="1">
      <alignment horizontal="left" vertical="center" indent="1"/>
    </xf>
    <xf numFmtId="0" fontId="15" fillId="17" borderId="0" xfId="0" applyFont="1" applyFill="1" applyAlignment="1">
      <alignment horizontal="left" vertical="center" indent="1"/>
    </xf>
    <xf numFmtId="0" fontId="10" fillId="17" borderId="5" xfId="0" applyFont="1" applyFill="1" applyBorder="1" applyAlignment="1">
      <alignment horizontal="left" vertical="center" indent="1"/>
    </xf>
    <xf numFmtId="0" fontId="14" fillId="18" borderId="1" xfId="0" applyFont="1" applyFill="1" applyBorder="1" applyAlignment="1">
      <alignment horizontal="left" vertical="center" indent="1"/>
    </xf>
    <xf numFmtId="0" fontId="15" fillId="18" borderId="0" xfId="0" applyFont="1" applyFill="1" applyAlignment="1">
      <alignment horizontal="left" vertical="center" indent="1"/>
    </xf>
    <xf numFmtId="0" fontId="10" fillId="18" borderId="5" xfId="0" applyFont="1" applyFill="1" applyBorder="1" applyAlignment="1">
      <alignment horizontal="left" vertical="center" indent="1"/>
    </xf>
    <xf numFmtId="0" fontId="14" fillId="19" borderId="1" xfId="0" applyFont="1" applyFill="1" applyBorder="1" applyAlignment="1">
      <alignment horizontal="left" vertical="center" indent="1"/>
    </xf>
    <xf numFmtId="0" fontId="15" fillId="19" borderId="0" xfId="0" applyFont="1" applyFill="1" applyAlignment="1">
      <alignment horizontal="left" vertical="center" indent="1"/>
    </xf>
    <xf numFmtId="0" fontId="10" fillId="19" borderId="5" xfId="0" applyFont="1" applyFill="1" applyBorder="1" applyAlignment="1">
      <alignment horizontal="left" vertical="center" indent="1"/>
    </xf>
    <xf numFmtId="0" fontId="14" fillId="20" borderId="1" xfId="0" applyFont="1" applyFill="1" applyBorder="1" applyAlignment="1">
      <alignment horizontal="left" vertical="center" indent="1"/>
    </xf>
    <xf numFmtId="0" fontId="15" fillId="20" borderId="0" xfId="0" applyFont="1" applyFill="1" applyAlignment="1">
      <alignment horizontal="left" vertical="center" indent="1"/>
    </xf>
    <xf numFmtId="0" fontId="10" fillId="20" borderId="5" xfId="0" applyFont="1" applyFill="1" applyBorder="1" applyAlignment="1">
      <alignment horizontal="left" vertical="center" indent="1"/>
    </xf>
    <xf numFmtId="0" fontId="26" fillId="45" borderId="13" xfId="0" applyFont="1" applyFill="1" applyBorder="1" applyAlignment="1">
      <alignment horizontal="center" vertical="center"/>
    </xf>
    <xf numFmtId="0" fontId="26" fillId="45" borderId="13" xfId="0" applyFont="1" applyFill="1" applyBorder="1" applyAlignment="1">
      <alignment horizontal="center" vertical="center" wrapText="1"/>
    </xf>
    <xf numFmtId="0" fontId="26" fillId="45" borderId="0" xfId="0" applyFont="1" applyFill="1" applyBorder="1" applyAlignment="1">
      <alignment horizontal="center" vertical="center"/>
    </xf>
    <xf numFmtId="0" fontId="23" fillId="49" borderId="0" xfId="0" applyFont="1" applyFill="1" applyBorder="1" applyAlignment="1">
      <alignment horizontal="center"/>
    </xf>
    <xf numFmtId="0" fontId="23" fillId="49" borderId="14" xfId="0" applyFont="1" applyFill="1" applyBorder="1" applyAlignment="1">
      <alignment horizontal="center"/>
    </xf>
    <xf numFmtId="0" fontId="24" fillId="45" borderId="13" xfId="0" applyFont="1" applyFill="1" applyBorder="1" applyAlignment="1">
      <alignment horizontal="center"/>
    </xf>
    <xf numFmtId="0" fontId="24" fillId="45" borderId="13" xfId="0" applyFont="1" applyFill="1" applyBorder="1" applyAlignment="1">
      <alignment horizontal="center" wrapText="1"/>
    </xf>
    <xf numFmtId="0" fontId="24" fillId="45" borderId="0" xfId="0" applyFont="1" applyFill="1" applyBorder="1" applyAlignment="1">
      <alignment horizontal="center"/>
    </xf>
    <xf numFmtId="0" fontId="27" fillId="49" borderId="0" xfId="0" applyFont="1" applyFill="1" applyBorder="1" applyAlignment="1">
      <alignment horizontal="center" vertical="center"/>
    </xf>
    <xf numFmtId="0" fontId="27" fillId="49" borderId="14" xfId="0" applyFont="1" applyFill="1" applyBorder="1" applyAlignment="1">
      <alignment horizontal="center" vertical="center"/>
    </xf>
    <xf numFmtId="0" fontId="25" fillId="49" borderId="14" xfId="0" applyFont="1" applyFill="1" applyBorder="1" applyAlignment="1">
      <alignment horizontal="right"/>
    </xf>
    <xf numFmtId="0" fontId="0" fillId="0" borderId="0" xfId="0" applyBorder="1" applyAlignment="1">
      <alignment horizontal="center"/>
    </xf>
    <xf numFmtId="0" fontId="25" fillId="49" borderId="0" xfId="0" applyFont="1" applyFill="1" applyBorder="1" applyAlignment="1">
      <alignment horizontal="right"/>
    </xf>
    <xf numFmtId="16" fontId="25" fillId="49" borderId="0" xfId="0" applyNumberFormat="1" applyFont="1" applyFill="1" applyBorder="1" applyAlignment="1">
      <alignment horizontal="right"/>
    </xf>
    <xf numFmtId="0" fontId="22" fillId="43" borderId="0" xfId="0" applyFont="1" applyFill="1" applyBorder="1"/>
    <xf numFmtId="0" fontId="0" fillId="44" borderId="0" xfId="0" applyFill="1" applyBorder="1"/>
    <xf numFmtId="0" fontId="0" fillId="0" borderId="0" xfId="0" applyBorder="1"/>
    <xf numFmtId="16" fontId="25" fillId="49" borderId="0" xfId="0" applyNumberFormat="1" applyFont="1" applyFill="1" applyBorder="1"/>
    <xf numFmtId="0" fontId="25" fillId="49" borderId="0" xfId="0" applyFont="1" applyFill="1" applyBorder="1"/>
    <xf numFmtId="0" fontId="23" fillId="50" borderId="0" xfId="0" applyFont="1" applyFill="1" applyBorder="1" applyAlignment="1">
      <alignment horizontal="center" vertical="center" wrapText="1"/>
    </xf>
    <xf numFmtId="0" fontId="25" fillId="50" borderId="0" xfId="0" applyFont="1" applyFill="1" applyBorder="1"/>
    <xf numFmtId="0" fontId="0" fillId="45" borderId="0" xfId="0" applyFill="1" applyBorder="1"/>
    <xf numFmtId="16" fontId="28" fillId="49" borderId="0" xfId="0" applyNumberFormat="1" applyFont="1" applyFill="1" applyBorder="1"/>
    <xf numFmtId="0" fontId="28" fillId="49" borderId="0" xfId="0" applyFont="1" applyFill="1" applyBorder="1"/>
    <xf numFmtId="0" fontId="0" fillId="55" borderId="0" xfId="0" applyFill="1" applyAlignment="1">
      <alignment horizontal="left"/>
    </xf>
    <xf numFmtId="0" fontId="0" fillId="55" borderId="0" xfId="0" applyFill="1" applyAlignment="1">
      <alignment horizontal="center"/>
    </xf>
    <xf numFmtId="0" fontId="0" fillId="0" borderId="10" xfId="0" applyBorder="1"/>
    <xf numFmtId="0" fontId="24" fillId="56" borderId="11" xfId="0" applyFont="1" applyFill="1" applyBorder="1" applyAlignment="1">
      <alignment horizontal="center"/>
    </xf>
    <xf numFmtId="0" fontId="24" fillId="56" borderId="12" xfId="0" applyFont="1" applyFill="1" applyBorder="1" applyAlignment="1">
      <alignment horizontal="center"/>
    </xf>
    <xf numFmtId="0" fontId="0" fillId="0" borderId="13" xfId="0" applyBorder="1"/>
    <xf numFmtId="0" fontId="0" fillId="49" borderId="0" xfId="0" applyFill="1" applyBorder="1"/>
    <xf numFmtId="0" fontId="0" fillId="49" borderId="14" xfId="0" applyFill="1" applyBorder="1"/>
    <xf numFmtId="0" fontId="23" fillId="50" borderId="13" xfId="0" applyFont="1" applyFill="1" applyBorder="1" applyAlignment="1">
      <alignment horizontal="center" vertical="center"/>
    </xf>
    <xf numFmtId="0" fontId="23" fillId="50" borderId="15" xfId="0" applyFont="1" applyFill="1" applyBorder="1" applyAlignment="1">
      <alignment horizontal="center" vertical="center"/>
    </xf>
    <xf numFmtId="0" fontId="24" fillId="57" borderId="11" xfId="0" applyFont="1" applyFill="1" applyBorder="1" applyAlignment="1">
      <alignment horizontal="center"/>
    </xf>
    <xf numFmtId="0" fontId="24" fillId="57" borderId="12" xfId="0" applyFont="1" applyFill="1" applyBorder="1" applyAlignment="1">
      <alignment horizontal="center"/>
    </xf>
    <xf numFmtId="0" fontId="23" fillId="48" borderId="0" xfId="0" applyFont="1" applyFill="1" applyBorder="1" applyAlignment="1">
      <alignment horizontal="center"/>
    </xf>
    <xf numFmtId="0" fontId="23" fillId="48" borderId="14" xfId="0" applyFont="1" applyFill="1" applyBorder="1" applyAlignment="1">
      <alignment horizontal="center"/>
    </xf>
    <xf numFmtId="0" fontId="0" fillId="48" borderId="0" xfId="0" applyFill="1" applyBorder="1"/>
    <xf numFmtId="0" fontId="0" fillId="48" borderId="14" xfId="0" applyFill="1" applyBorder="1"/>
    <xf numFmtId="0" fontId="24" fillId="42" borderId="25" xfId="0" applyFont="1" applyFill="1" applyBorder="1" applyAlignment="1">
      <alignment horizontal="center" vertical="center" wrapText="1"/>
    </xf>
    <xf numFmtId="0" fontId="29" fillId="42" borderId="24" xfId="0" applyFont="1" applyFill="1" applyBorder="1"/>
    <xf numFmtId="0" fontId="24" fillId="42" borderId="27" xfId="0" applyFont="1" applyFill="1" applyBorder="1" applyAlignment="1">
      <alignment horizontal="center" vertical="center" wrapText="1"/>
    </xf>
    <xf numFmtId="0" fontId="29" fillId="42" borderId="0" xfId="0" applyFont="1" applyFill="1" applyBorder="1"/>
    <xf numFmtId="0" fontId="24" fillId="42" borderId="29" xfId="0" applyFont="1" applyFill="1" applyBorder="1" applyAlignment="1">
      <alignment horizontal="center" vertical="center" wrapText="1"/>
    </xf>
    <xf numFmtId="0" fontId="29" fillId="42" borderId="30" xfId="0" applyFont="1" applyFill="1" applyBorder="1"/>
    <xf numFmtId="0" fontId="23" fillId="49" borderId="26" xfId="0" applyFont="1" applyFill="1" applyBorder="1"/>
    <xf numFmtId="0" fontId="0" fillId="58" borderId="9" xfId="0" applyFill="1" applyBorder="1" applyAlignment="1">
      <alignment horizontal="right"/>
    </xf>
    <xf numFmtId="9" fontId="0" fillId="58" borderId="28" xfId="0" applyNumberFormat="1" applyFill="1" applyBorder="1"/>
    <xf numFmtId="9" fontId="0" fillId="58" borderId="31" xfId="0" applyNumberFormat="1" applyFill="1" applyBorder="1"/>
    <xf numFmtId="0" fontId="24" fillId="42" borderId="8" xfId="0" applyFont="1" applyFill="1" applyBorder="1" applyAlignment="1">
      <alignment horizontal="center"/>
    </xf>
    <xf numFmtId="0" fontId="24" fillId="42" borderId="32" xfId="0" applyFont="1" applyFill="1" applyBorder="1" applyAlignment="1">
      <alignment horizontal="center"/>
    </xf>
    <xf numFmtId="9" fontId="0" fillId="58" borderId="9" xfId="0" applyNumberFormat="1" applyFill="1" applyBorder="1"/>
    <xf numFmtId="2" fontId="0" fillId="0" borderId="0" xfId="0" applyNumberFormat="1" applyBorder="1"/>
    <xf numFmtId="2" fontId="0" fillId="0" borderId="14" xfId="0" applyNumberFormat="1" applyBorder="1"/>
    <xf numFmtId="2" fontId="0" fillId="0" borderId="17" xfId="0" applyNumberFormat="1" applyBorder="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EFEBE9"/>
      <rgbColor rgb="FFFF00FF"/>
      <rgbColor rgb="FF00FFFF"/>
      <rgbColor rgb="FF800000"/>
      <rgbColor rgb="FF008000"/>
      <rgbColor rgb="FF000080"/>
      <rgbColor rgb="FF8B6914"/>
      <rgbColor rgb="FF800080"/>
      <rgbColor rgb="FF00695C"/>
      <rgbColor rgb="FFBFBFBF"/>
      <rgbColor rgb="FF888888"/>
      <rgbColor rgb="FFB3E5FC"/>
      <rgbColor rgb="FFB71C1C"/>
      <rgbColor rgb="FFFFF9C4"/>
      <rgbColor rgb="FFE1F5FE"/>
      <rgbColor rgb="FF444444"/>
      <rgbColor rgb="FFECEFF1"/>
      <rgbColor rgb="FF01579B"/>
      <rgbColor rgb="FFD1C4E9"/>
      <rgbColor rgb="FF000080"/>
      <rgbColor rgb="FFFF00FF"/>
      <rgbColor rgb="FFFFEBEE"/>
      <rgbColor rgb="FF00FFFF"/>
      <rgbColor rgb="FF800080"/>
      <rgbColor rgb="FF800000"/>
      <rgbColor rgb="FF008080"/>
      <rgbColor rgb="FF0000FF"/>
      <rgbColor rgb="FF00CCFF"/>
      <rgbColor rgb="FFE0F2F1"/>
      <rgbColor rgb="FFD6E4F0"/>
      <rgbColor rgb="FFFBE9E7"/>
      <rgbColor rgb="FFB2DFDB"/>
      <rgbColor rgb="FFEDE7F6"/>
      <rgbColor rgb="FFD7CCC8"/>
      <rgbColor rgb="FFFFCDD2"/>
      <rgbColor rgb="FF2E4D8A"/>
      <rgbColor rgb="FF33CCCC"/>
      <rgbColor rgb="FFF5F5F5"/>
      <rgbColor rgb="FFFFD700"/>
      <rgbColor rgb="FFFAFAFA"/>
      <rgbColor rgb="FFFF6600"/>
      <rgbColor rgb="FF555555"/>
      <rgbColor rgb="FFEEEEEE"/>
      <rgbColor rgb="FF1F3864"/>
      <rgbColor rgb="FF339966"/>
      <rgbColor rgb="FF37474F"/>
      <rgbColor rgb="FF222222"/>
      <rgbColor rgb="FFBF360C"/>
      <rgbColor rgb="FF5D4037"/>
      <rgbColor rgb="FF4527A0"/>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Aggregate Claim Payments by Accident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974838170786207"/>
          <c:y val="0.13698984302862419"/>
          <c:w val="0.87560326168675684"/>
          <c:h val="0.58922683733150161"/>
        </c:manualLayout>
      </c:layout>
      <c:lineChart>
        <c:grouping val="standard"/>
        <c:varyColors val="0"/>
        <c:ser>
          <c:idx val="0"/>
          <c:order val="0"/>
          <c:tx>
            <c:strRef>
              <c:f>'Aggregate payments analysis'!$C$6</c:f>
              <c:strCache>
                <c:ptCount val="1"/>
                <c:pt idx="0">
                  <c:v>Wind/Hail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'Aggregate payments analysis'!$D$4:$O$5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payments analysis'!$D$6:$O$6</c:f>
              <c:numCache>
                <c:formatCode>0.00</c:formatCode>
                <c:ptCount val="12"/>
                <c:pt idx="0">
                  <c:v>27503.54</c:v>
                </c:pt>
                <c:pt idx="1">
                  <c:v>79905.469999999987</c:v>
                </c:pt>
                <c:pt idx="2">
                  <c:v>28111.61</c:v>
                </c:pt>
                <c:pt idx="3">
                  <c:v>45015.39</c:v>
                </c:pt>
                <c:pt idx="4">
                  <c:v>121873.24000000002</c:v>
                </c:pt>
                <c:pt idx="5">
                  <c:v>67014.600000000006</c:v>
                </c:pt>
                <c:pt idx="6">
                  <c:v>104719.92</c:v>
                </c:pt>
                <c:pt idx="7">
                  <c:v>52289.680000000008</c:v>
                </c:pt>
                <c:pt idx="8">
                  <c:v>87782.56</c:v>
                </c:pt>
                <c:pt idx="9">
                  <c:v>62080.81</c:v>
                </c:pt>
                <c:pt idx="10">
                  <c:v>87180.66</c:v>
                </c:pt>
                <c:pt idx="11">
                  <c:v>46358.02</c:v>
                </c:pt>
              </c:numCache>
            </c:numRef>
          </c:val>
          <c:smooth val="0"/>
          <c:extLst>
            <c:ext xmlns:c16="http://schemas.microsoft.com/office/drawing/2014/chart" uri="{C3380CC4-5D6E-409C-BE32-E72D297353CC}">
              <c16:uniqueId val="{00000000-D135-494F-AE48-1235E3E5D44A}"/>
            </c:ext>
          </c:extLst>
        </c:ser>
        <c:ser>
          <c:idx val="1"/>
          <c:order val="1"/>
          <c:tx>
            <c:strRef>
              <c:f>'Aggregate payments analysis'!$C$7</c:f>
              <c:strCache>
                <c:ptCount val="1"/>
                <c:pt idx="0">
                  <c:v>Water Damage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'Aggregate payments analysis'!$D$4:$O$5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payments analysis'!$D$7:$O$7</c:f>
              <c:numCache>
                <c:formatCode>0.00</c:formatCode>
                <c:ptCount val="12"/>
                <c:pt idx="0">
                  <c:v>133660.84000000003</c:v>
                </c:pt>
                <c:pt idx="1">
                  <c:v>52040.890000000007</c:v>
                </c:pt>
                <c:pt idx="2">
                  <c:v>74764.77</c:v>
                </c:pt>
                <c:pt idx="3">
                  <c:v>66308.25</c:v>
                </c:pt>
                <c:pt idx="4">
                  <c:v>54028.160000000003</c:v>
                </c:pt>
                <c:pt idx="5">
                  <c:v>92933.62999999999</c:v>
                </c:pt>
                <c:pt idx="6">
                  <c:v>53411.35</c:v>
                </c:pt>
                <c:pt idx="7">
                  <c:v>48423.930000000008</c:v>
                </c:pt>
                <c:pt idx="8">
                  <c:v>73416.87</c:v>
                </c:pt>
                <c:pt idx="9">
                  <c:v>80528.509999999995</c:v>
                </c:pt>
                <c:pt idx="10">
                  <c:v>84780.96</c:v>
                </c:pt>
                <c:pt idx="11">
                  <c:v>96490.239999999991</c:v>
                </c:pt>
              </c:numCache>
            </c:numRef>
          </c:val>
          <c:smooth val="0"/>
          <c:extLst>
            <c:ext xmlns:c16="http://schemas.microsoft.com/office/drawing/2014/chart" uri="{C3380CC4-5D6E-409C-BE32-E72D297353CC}">
              <c16:uniqueId val="{00000001-D135-494F-AE48-1235E3E5D44A}"/>
            </c:ext>
          </c:extLst>
        </c:ser>
        <c:ser>
          <c:idx val="2"/>
          <c:order val="2"/>
          <c:tx>
            <c:strRef>
              <c:f>'Aggregate payments analysis'!$C$8</c:f>
              <c:strCache>
                <c:ptCount val="1"/>
                <c:pt idx="0">
                  <c:v>Fire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'Aggregate payments analysis'!$D$4:$O$5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payments analysis'!$D$8:$O$8</c:f>
              <c:numCache>
                <c:formatCode>0.00</c:formatCode>
                <c:ptCount val="12"/>
                <c:pt idx="0">
                  <c:v>167421.15999999997</c:v>
                </c:pt>
                <c:pt idx="1">
                  <c:v>273559.63000000006</c:v>
                </c:pt>
                <c:pt idx="2">
                  <c:v>141926.70000000001</c:v>
                </c:pt>
                <c:pt idx="3">
                  <c:v>110992.12000000001</c:v>
                </c:pt>
                <c:pt idx="4">
                  <c:v>92465.48000000001</c:v>
                </c:pt>
                <c:pt idx="5">
                  <c:v>188128.6</c:v>
                </c:pt>
                <c:pt idx="6">
                  <c:v>421248.74999999994</c:v>
                </c:pt>
                <c:pt idx="7">
                  <c:v>537401.46000000008</c:v>
                </c:pt>
                <c:pt idx="8">
                  <c:v>74939.100000000006</c:v>
                </c:pt>
                <c:pt idx="9">
                  <c:v>52802.049999999996</c:v>
                </c:pt>
                <c:pt idx="10">
                  <c:v>246078.55999999997</c:v>
                </c:pt>
                <c:pt idx="11">
                  <c:v>211300.50999999995</c:v>
                </c:pt>
              </c:numCache>
            </c:numRef>
          </c:val>
          <c:smooth val="0"/>
          <c:extLst>
            <c:ext xmlns:c16="http://schemas.microsoft.com/office/drawing/2014/chart" uri="{C3380CC4-5D6E-409C-BE32-E72D297353CC}">
              <c16:uniqueId val="{00000002-D135-494F-AE48-1235E3E5D44A}"/>
            </c:ext>
          </c:extLst>
        </c:ser>
        <c:ser>
          <c:idx val="3"/>
          <c:order val="3"/>
          <c:tx>
            <c:strRef>
              <c:f>'Aggregate payments analysis'!$C$9</c:f>
              <c:strCache>
                <c:ptCount val="1"/>
                <c:pt idx="0">
                  <c:v>Flood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'Aggregate payments analysis'!$D$4:$O$5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payments analysis'!$D$9:$O$9</c:f>
              <c:numCache>
                <c:formatCode>0.00</c:formatCode>
                <c:ptCount val="12"/>
                <c:pt idx="0">
                  <c:v>80043.01999999999</c:v>
                </c:pt>
                <c:pt idx="1">
                  <c:v>10756.92</c:v>
                </c:pt>
                <c:pt idx="2">
                  <c:v>39631.839999999997</c:v>
                </c:pt>
                <c:pt idx="3">
                  <c:v>25195.1</c:v>
                </c:pt>
                <c:pt idx="4">
                  <c:v>36607.589999999997</c:v>
                </c:pt>
                <c:pt idx="5">
                  <c:v>3589.67</c:v>
                </c:pt>
                <c:pt idx="6">
                  <c:v>18638.16</c:v>
                </c:pt>
                <c:pt idx="7">
                  <c:v>94501.62000000001</c:v>
                </c:pt>
                <c:pt idx="8">
                  <c:v>23040.79</c:v>
                </c:pt>
                <c:pt idx="9">
                  <c:v>42534.91</c:v>
                </c:pt>
                <c:pt idx="10">
                  <c:v>37045.729999999996</c:v>
                </c:pt>
                <c:pt idx="11">
                  <c:v>9254.9599999999991</c:v>
                </c:pt>
              </c:numCache>
            </c:numRef>
          </c:val>
          <c:smooth val="0"/>
          <c:extLst>
            <c:ext xmlns:c16="http://schemas.microsoft.com/office/drawing/2014/chart" uri="{C3380CC4-5D6E-409C-BE32-E72D297353CC}">
              <c16:uniqueId val="{00000003-D135-494F-AE48-1235E3E5D44A}"/>
            </c:ext>
          </c:extLst>
        </c:ser>
        <c:ser>
          <c:idx val="4"/>
          <c:order val="4"/>
          <c:tx>
            <c:strRef>
              <c:f>'Aggregate payments analysis'!$C$10</c:f>
              <c:strCache>
                <c:ptCount val="1"/>
                <c:pt idx="0">
                  <c:v>Theft</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'Aggregate payments analysis'!$D$4:$O$5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payments analysis'!$D$10:$O$10</c:f>
              <c:numCache>
                <c:formatCode>0.00</c:formatCode>
                <c:ptCount val="12"/>
                <c:pt idx="0">
                  <c:v>25509.46</c:v>
                </c:pt>
                <c:pt idx="1">
                  <c:v>11366.95</c:v>
                </c:pt>
                <c:pt idx="2">
                  <c:v>14602.76</c:v>
                </c:pt>
                <c:pt idx="3">
                  <c:v>18130.87</c:v>
                </c:pt>
                <c:pt idx="4">
                  <c:v>19341.78</c:v>
                </c:pt>
                <c:pt idx="5">
                  <c:v>29435.160000000003</c:v>
                </c:pt>
                <c:pt idx="6">
                  <c:v>8925.9599999999991</c:v>
                </c:pt>
                <c:pt idx="7">
                  <c:v>27978.42</c:v>
                </c:pt>
                <c:pt idx="8">
                  <c:v>27660.6</c:v>
                </c:pt>
                <c:pt idx="9">
                  <c:v>22333.52</c:v>
                </c:pt>
                <c:pt idx="10">
                  <c:v>35130.54</c:v>
                </c:pt>
                <c:pt idx="11">
                  <c:v>25417.78</c:v>
                </c:pt>
              </c:numCache>
            </c:numRef>
          </c:val>
          <c:smooth val="0"/>
          <c:extLst>
            <c:ext xmlns:c16="http://schemas.microsoft.com/office/drawing/2014/chart" uri="{C3380CC4-5D6E-409C-BE32-E72D297353CC}">
              <c16:uniqueId val="{00000004-D135-494F-AE48-1235E3E5D44A}"/>
            </c:ext>
          </c:extLst>
        </c:ser>
        <c:dLbls>
          <c:showLegendKey val="0"/>
          <c:showVal val="0"/>
          <c:showCatName val="0"/>
          <c:showSerName val="0"/>
          <c:showPercent val="0"/>
          <c:showBubbleSize val="0"/>
        </c:dLbls>
        <c:marker val="1"/>
        <c:smooth val="0"/>
        <c:axId val="154844895"/>
        <c:axId val="1724533919"/>
      </c:lineChart>
      <c:catAx>
        <c:axId val="15484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533919"/>
        <c:crosses val="autoZero"/>
        <c:auto val="1"/>
        <c:lblAlgn val="ctr"/>
        <c:lblOffset val="100"/>
        <c:noMultiLvlLbl val="0"/>
      </c:catAx>
      <c:valAx>
        <c:axId val="1724533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Aggregate Claim Payments($)</a:t>
                </a:r>
              </a:p>
            </c:rich>
          </c:tx>
          <c:layout>
            <c:manualLayout>
              <c:xMode val="edge"/>
              <c:yMode val="edge"/>
              <c:x val="2.5301706863840326E-2"/>
              <c:y val="0.2202831155800815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448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Aggregate Claim Payments by Payment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288060706356154"/>
          <c:y val="0.12979870361945503"/>
          <c:w val="0.83627865955147818"/>
          <c:h val="0.59453511919310598"/>
        </c:manualLayout>
      </c:layout>
      <c:lineChart>
        <c:grouping val="standard"/>
        <c:varyColors val="0"/>
        <c:ser>
          <c:idx val="0"/>
          <c:order val="0"/>
          <c:tx>
            <c:strRef>
              <c:f>'Aggregate payments analysis'!$R$6</c:f>
              <c:strCache>
                <c:ptCount val="1"/>
                <c:pt idx="0">
                  <c:v>Wind/Hail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'Aggregate payments analysis'!$S$4:$Z$5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payments analysis'!$S$6:$Z$6</c:f>
              <c:numCache>
                <c:formatCode>0.00</c:formatCode>
                <c:ptCount val="8"/>
                <c:pt idx="0">
                  <c:v>74864.420000000013</c:v>
                </c:pt>
                <c:pt idx="1">
                  <c:v>57454.180000000008</c:v>
                </c:pt>
                <c:pt idx="2">
                  <c:v>80927.48</c:v>
                </c:pt>
                <c:pt idx="3">
                  <c:v>40675.490000000005</c:v>
                </c:pt>
                <c:pt idx="4">
                  <c:v>138011.97</c:v>
                </c:pt>
                <c:pt idx="5">
                  <c:v>164138.31999999998</c:v>
                </c:pt>
                <c:pt idx="6">
                  <c:v>186015.12</c:v>
                </c:pt>
                <c:pt idx="7">
                  <c:v>67748.52</c:v>
                </c:pt>
              </c:numCache>
            </c:numRef>
          </c:val>
          <c:smooth val="0"/>
          <c:extLst>
            <c:ext xmlns:c16="http://schemas.microsoft.com/office/drawing/2014/chart" uri="{C3380CC4-5D6E-409C-BE32-E72D297353CC}">
              <c16:uniqueId val="{00000000-7034-494A-B318-376A48F59977}"/>
            </c:ext>
          </c:extLst>
        </c:ser>
        <c:ser>
          <c:idx val="1"/>
          <c:order val="1"/>
          <c:tx>
            <c:strRef>
              <c:f>'Aggregate payments analysis'!$R$7</c:f>
              <c:strCache>
                <c:ptCount val="1"/>
                <c:pt idx="0">
                  <c:v>Water Damage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'Aggregate payments analysis'!$S$4:$Z$5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payments analysis'!$S$7:$Z$7</c:f>
              <c:numCache>
                <c:formatCode>0.00</c:formatCode>
                <c:ptCount val="8"/>
                <c:pt idx="0">
                  <c:v>18750.690000000002</c:v>
                </c:pt>
                <c:pt idx="1">
                  <c:v>78544.89</c:v>
                </c:pt>
                <c:pt idx="2">
                  <c:v>98772.830000000016</c:v>
                </c:pt>
                <c:pt idx="3">
                  <c:v>96308.279999999984</c:v>
                </c:pt>
                <c:pt idx="4">
                  <c:v>131558.31</c:v>
                </c:pt>
                <c:pt idx="5">
                  <c:v>163232.00999999995</c:v>
                </c:pt>
                <c:pt idx="6">
                  <c:v>165729.06000000003</c:v>
                </c:pt>
                <c:pt idx="7">
                  <c:v>157892.33000000005</c:v>
                </c:pt>
              </c:numCache>
            </c:numRef>
          </c:val>
          <c:smooth val="0"/>
          <c:extLst>
            <c:ext xmlns:c16="http://schemas.microsoft.com/office/drawing/2014/chart" uri="{C3380CC4-5D6E-409C-BE32-E72D297353CC}">
              <c16:uniqueId val="{00000001-7034-494A-B318-376A48F59977}"/>
            </c:ext>
          </c:extLst>
        </c:ser>
        <c:ser>
          <c:idx val="2"/>
          <c:order val="2"/>
          <c:tx>
            <c:strRef>
              <c:f>'Aggregate payments analysis'!$R$8</c:f>
              <c:strCache>
                <c:ptCount val="1"/>
                <c:pt idx="0">
                  <c:v>Fire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'Aggregate payments analysis'!$S$4:$Z$5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payments analysis'!$S$8:$Z$8</c:f>
              <c:numCache>
                <c:formatCode>0.00</c:formatCode>
                <c:ptCount val="8"/>
                <c:pt idx="0">
                  <c:v>105634.59000000001</c:v>
                </c:pt>
                <c:pt idx="1">
                  <c:v>145486.10999999996</c:v>
                </c:pt>
                <c:pt idx="2">
                  <c:v>281506.81999999995</c:v>
                </c:pt>
                <c:pt idx="3">
                  <c:v>297635.28999999992</c:v>
                </c:pt>
                <c:pt idx="4">
                  <c:v>326636</c:v>
                </c:pt>
                <c:pt idx="5">
                  <c:v>456897.4800000001</c:v>
                </c:pt>
                <c:pt idx="6">
                  <c:v>693623.30999999982</c:v>
                </c:pt>
                <c:pt idx="7">
                  <c:v>210844.52</c:v>
                </c:pt>
              </c:numCache>
            </c:numRef>
          </c:val>
          <c:smooth val="0"/>
          <c:extLst>
            <c:ext xmlns:c16="http://schemas.microsoft.com/office/drawing/2014/chart" uri="{C3380CC4-5D6E-409C-BE32-E72D297353CC}">
              <c16:uniqueId val="{00000002-7034-494A-B318-376A48F59977}"/>
            </c:ext>
          </c:extLst>
        </c:ser>
        <c:ser>
          <c:idx val="3"/>
          <c:order val="3"/>
          <c:tx>
            <c:strRef>
              <c:f>'Aggregate payments analysis'!$R$9</c:f>
              <c:strCache>
                <c:ptCount val="1"/>
                <c:pt idx="0">
                  <c:v>Flood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'Aggregate payments analysis'!$S$4:$Z$5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payments analysis'!$S$9:$Z$9</c:f>
              <c:numCache>
                <c:formatCode>0.00</c:formatCode>
                <c:ptCount val="8"/>
                <c:pt idx="0">
                  <c:v>4178.5300000000007</c:v>
                </c:pt>
                <c:pt idx="1">
                  <c:v>24581.019999999997</c:v>
                </c:pt>
                <c:pt idx="2">
                  <c:v>22428.05</c:v>
                </c:pt>
                <c:pt idx="3">
                  <c:v>34026.54</c:v>
                </c:pt>
                <c:pt idx="4">
                  <c:v>102506.27999999998</c:v>
                </c:pt>
                <c:pt idx="5">
                  <c:v>56440.55999999999</c:v>
                </c:pt>
                <c:pt idx="6">
                  <c:v>134848.86000000002</c:v>
                </c:pt>
                <c:pt idx="7">
                  <c:v>41830.47</c:v>
                </c:pt>
              </c:numCache>
            </c:numRef>
          </c:val>
          <c:smooth val="0"/>
          <c:extLst>
            <c:ext xmlns:c16="http://schemas.microsoft.com/office/drawing/2014/chart" uri="{C3380CC4-5D6E-409C-BE32-E72D297353CC}">
              <c16:uniqueId val="{00000003-7034-494A-B318-376A48F59977}"/>
            </c:ext>
          </c:extLst>
        </c:ser>
        <c:ser>
          <c:idx val="4"/>
          <c:order val="4"/>
          <c:tx>
            <c:strRef>
              <c:f>'Aggregate payments analysis'!$R$10</c:f>
              <c:strCache>
                <c:ptCount val="1"/>
                <c:pt idx="0">
                  <c:v>Theft</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'Aggregate payments analysis'!$S$4:$Z$5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payments analysis'!$S$10:$Z$10</c:f>
              <c:numCache>
                <c:formatCode>0.00</c:formatCode>
                <c:ptCount val="8"/>
                <c:pt idx="0">
                  <c:v>23391.829999999998</c:v>
                </c:pt>
                <c:pt idx="1">
                  <c:v>37748.410000000003</c:v>
                </c:pt>
                <c:pt idx="2">
                  <c:v>19093.729999999996</c:v>
                </c:pt>
                <c:pt idx="3">
                  <c:v>19859.899999999998</c:v>
                </c:pt>
                <c:pt idx="4">
                  <c:v>58236.970000000008</c:v>
                </c:pt>
                <c:pt idx="5">
                  <c:v>45664.080000000009</c:v>
                </c:pt>
                <c:pt idx="6">
                  <c:v>42025.69</c:v>
                </c:pt>
                <c:pt idx="7">
                  <c:v>19813.189999999999</c:v>
                </c:pt>
              </c:numCache>
            </c:numRef>
          </c:val>
          <c:smooth val="0"/>
          <c:extLst>
            <c:ext xmlns:c16="http://schemas.microsoft.com/office/drawing/2014/chart" uri="{C3380CC4-5D6E-409C-BE32-E72D297353CC}">
              <c16:uniqueId val="{00000004-7034-494A-B318-376A48F59977}"/>
            </c:ext>
          </c:extLst>
        </c:ser>
        <c:dLbls>
          <c:showLegendKey val="0"/>
          <c:showVal val="0"/>
          <c:showCatName val="0"/>
          <c:showSerName val="0"/>
          <c:showPercent val="0"/>
          <c:showBubbleSize val="0"/>
        </c:dLbls>
        <c:marker val="1"/>
        <c:smooth val="0"/>
        <c:axId val="117364319"/>
        <c:axId val="1724568479"/>
      </c:lineChart>
      <c:catAx>
        <c:axId val="11736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568479"/>
        <c:crosses val="autoZero"/>
        <c:auto val="1"/>
        <c:lblAlgn val="ctr"/>
        <c:lblOffset val="100"/>
        <c:noMultiLvlLbl val="0"/>
      </c:catAx>
      <c:valAx>
        <c:axId val="1724568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Aggregate Claim Payments ($)</a:t>
                </a:r>
              </a:p>
            </c:rich>
          </c:tx>
          <c:layout>
            <c:manualLayout>
              <c:xMode val="edge"/>
              <c:yMode val="edge"/>
              <c:x val="2.0840733384960272E-2"/>
              <c:y val="0.231012059155250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364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21431</xdr:colOff>
      <xdr:row>10</xdr:row>
      <xdr:rowOff>180974</xdr:rowOff>
    </xdr:from>
    <xdr:to>
      <xdr:col>14</xdr:col>
      <xdr:colOff>633412</xdr:colOff>
      <xdr:row>31</xdr:row>
      <xdr:rowOff>14288</xdr:rowOff>
    </xdr:to>
    <xdr:graphicFrame macro="">
      <xdr:nvGraphicFramePr>
        <xdr:cNvPr id="2" name="Chart 1">
          <a:extLst>
            <a:ext uri="{FF2B5EF4-FFF2-40B4-BE49-F238E27FC236}">
              <a16:creationId xmlns:a16="http://schemas.microsoft.com/office/drawing/2014/main" id="{BA9E40BE-90C9-4918-8719-3C723ED8F6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16667</xdr:colOff>
      <xdr:row>10</xdr:row>
      <xdr:rowOff>176211</xdr:rowOff>
    </xdr:from>
    <xdr:to>
      <xdr:col>25</xdr:col>
      <xdr:colOff>638174</xdr:colOff>
      <xdr:row>31</xdr:row>
      <xdr:rowOff>4763</xdr:rowOff>
    </xdr:to>
    <xdr:graphicFrame macro="">
      <xdr:nvGraphicFramePr>
        <xdr:cNvPr id="3" name="Chart 2">
          <a:extLst>
            <a:ext uri="{FF2B5EF4-FFF2-40B4-BE49-F238E27FC236}">
              <a16:creationId xmlns:a16="http://schemas.microsoft.com/office/drawing/2014/main" id="{4E875BB7-A8B8-44D5-B88E-77A5FDEF10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675C3-B227-4D00-9018-4CE65F587155}">
  <dimension ref="B2:R57"/>
  <sheetViews>
    <sheetView topLeftCell="A40" zoomScale="82" workbookViewId="0">
      <selection activeCell="H53" sqref="H53"/>
    </sheetView>
  </sheetViews>
  <sheetFormatPr defaultRowHeight="14.25" x14ac:dyDescent="0.45"/>
  <cols>
    <col min="3" max="3" width="12.59765625" bestFit="1" customWidth="1"/>
    <col min="7" max="8" width="12.59765625" bestFit="1" customWidth="1"/>
    <col min="9" max="9" width="9.1328125" bestFit="1" customWidth="1"/>
    <col min="10" max="11" width="9.19921875" bestFit="1" customWidth="1"/>
    <col min="12" max="16" width="10.19921875" bestFit="1" customWidth="1"/>
  </cols>
  <sheetData>
    <row r="2" spans="2:18" ht="14.65" thickBot="1" x14ac:dyDescent="0.5"/>
    <row r="3" spans="2:18" x14ac:dyDescent="0.45">
      <c r="B3" s="145" t="s">
        <v>581</v>
      </c>
      <c r="C3" s="145"/>
      <c r="F3" s="132" t="s">
        <v>606</v>
      </c>
      <c r="G3" s="133"/>
      <c r="H3" s="133"/>
      <c r="I3" s="133"/>
      <c r="J3" s="133"/>
      <c r="K3" s="133"/>
      <c r="L3" s="133"/>
      <c r="M3" s="133"/>
      <c r="N3" s="133"/>
      <c r="O3" s="146"/>
    </row>
    <row r="4" spans="2:18" x14ac:dyDescent="0.45">
      <c r="F4" s="124"/>
      <c r="G4" s="190"/>
      <c r="H4" s="182" t="s">
        <v>578</v>
      </c>
      <c r="I4" s="182"/>
      <c r="J4" s="182"/>
      <c r="K4" s="182"/>
      <c r="L4" s="182"/>
      <c r="M4" s="182"/>
      <c r="N4" s="182"/>
      <c r="O4" s="183"/>
    </row>
    <row r="5" spans="2:18" x14ac:dyDescent="0.45">
      <c r="B5" s="86" t="s">
        <v>580</v>
      </c>
      <c r="C5" s="226" t="s">
        <v>7</v>
      </c>
      <c r="F5" s="124"/>
      <c r="G5" s="190"/>
      <c r="H5" s="191" t="s">
        <v>587</v>
      </c>
      <c r="I5" s="192" t="s">
        <v>30</v>
      </c>
      <c r="J5" s="191" t="s">
        <v>31</v>
      </c>
      <c r="K5" s="191" t="s">
        <v>37</v>
      </c>
      <c r="L5" s="191" t="s">
        <v>41</v>
      </c>
      <c r="M5" s="191" t="s">
        <v>45</v>
      </c>
      <c r="N5" s="191" t="s">
        <v>46</v>
      </c>
      <c r="O5" s="189" t="s">
        <v>50</v>
      </c>
    </row>
    <row r="6" spans="2:18" x14ac:dyDescent="0.45">
      <c r="F6" s="130" t="s">
        <v>582</v>
      </c>
      <c r="G6" s="193">
        <v>2018</v>
      </c>
      <c r="H6" s="194" cm="1">
        <f t="array" ref="H6">SUM(_xlfn._xlws.FILTER(INDEX(yearly_total_payments,_xlfn.SEQUENCE(ROWS(yearly_total_payments)),MATCH(_xlfn.SEQUENCE(1,MATCH(H$5,$H$5:$O$5),$G6),$G$6:$G$13,0)),(claim_type=$C$5)*(accident_year=$G6)*(total_claim_payment&lt;250000),""))</f>
        <v>23391.829999999998</v>
      </c>
      <c r="I6" s="194" cm="1">
        <f t="array" ref="I6">SUM(_xlfn._xlws.FILTER(INDEX(yearly_total_payments,_xlfn.SEQUENCE(ROWS(yearly_total_payments)),MATCH(_xlfn.SEQUENCE(1,MATCH(I$5,$H$5:$O$5),$G6),$G$6:$G$13,0)),(claim_type=$C$5)*(accident_year=$G6)*(total_claim_payment&lt;250000),""))</f>
        <v>28596.649999999998</v>
      </c>
      <c r="J6" s="194" cm="1">
        <f t="array" ref="J6">SUM(_xlfn._xlws.FILTER(INDEX(yearly_total_payments,_xlfn.SEQUENCE(ROWS(yearly_total_payments)),MATCH(_xlfn.SEQUENCE(1,MATCH(J$5,$H$5:$O$5),$G6),$G$6:$G$13,0)),(claim_type=$C$5)*(accident_year=$G6)*(total_claim_payment&lt;250000),""))</f>
        <v>28596.649999999998</v>
      </c>
      <c r="K6" s="194" cm="1">
        <f t="array" ref="K6">SUM(_xlfn._xlws.FILTER(INDEX(yearly_total_payments,_xlfn.SEQUENCE(ROWS(yearly_total_payments)),MATCH(_xlfn.SEQUENCE(1,MATCH(K$5,$H$5:$O$5),$G6),$G$6:$G$13,0)),(claim_type=$C$5)*(accident_year=$G6)*(total_claim_payment&lt;250000),""))</f>
        <v>28596.649999999998</v>
      </c>
      <c r="L6" s="194" cm="1">
        <f t="array" ref="L6">SUM(_xlfn._xlws.FILTER(INDEX(yearly_total_payments,_xlfn.SEQUENCE(ROWS(yearly_total_payments)),MATCH(_xlfn.SEQUENCE(1,MATCH(L$5,$H$5:$O$5),$G6),$G$6:$G$13,0)),(claim_type=$C$5)*(accident_year=$G6)*(total_claim_payment&lt;250000),""))</f>
        <v>28596.649999999998</v>
      </c>
      <c r="M6" s="194" cm="1">
        <f t="array" ref="M6">SUM(_xlfn._xlws.FILTER(INDEX(yearly_total_payments,_xlfn.SEQUENCE(ROWS(yearly_total_payments)),MATCH(_xlfn.SEQUENCE(1,MATCH(M$5,$H$5:$O$5),$G6),$G$6:$G$13,0)),(claim_type=$C$5)*(accident_year=$G6)*(total_claim_payment&lt;250000),""))</f>
        <v>28596.649999999998</v>
      </c>
      <c r="N6" s="194" cm="1">
        <f t="array" ref="N6">SUM(_xlfn._xlws.FILTER(INDEX(yearly_total_payments,_xlfn.SEQUENCE(ROWS(yearly_total_payments)),MATCH(_xlfn.SEQUENCE(1,MATCH(N$5,$H$5:$O$5),$G6),$G$6:$G$13,0)),(claim_type=$C$5)*(accident_year=$G6)*(total_claim_payment&lt;250000),""))</f>
        <v>28596.649999999998</v>
      </c>
      <c r="O6" s="90" cm="1">
        <f t="array" ref="O6">SUM(_xlfn._xlws.FILTER(INDEX(yearly_total_payments,_xlfn.SEQUENCE(ROWS(yearly_total_payments)),MATCH(_xlfn.SEQUENCE(1,MATCH(O$5,$H$5:$O$5),$G6),$G$6:$G$13,0)),(claim_type=$C$5)*(accident_year=$G6)*(total_claim_payment&lt;250000),""))</f>
        <v>28596.649999999998</v>
      </c>
    </row>
    <row r="7" spans="2:18" x14ac:dyDescent="0.45">
      <c r="F7" s="130"/>
      <c r="G7" s="193">
        <v>2019</v>
      </c>
      <c r="H7" s="194" cm="1">
        <f t="array" ref="H7">SUM(_xlfn._xlws.FILTER(INDEX(yearly_total_payments,_xlfn.SEQUENCE(ROWS(yearly_total_payments)),MATCH(_xlfn.SEQUENCE(1,MATCH(H$5,$H$5:$O$5),$G7),$G$6:$G$13,0)),(claim_type=$C$5)*(accident_year=$G7)*(total_claim_payment&lt;250000),""))</f>
        <v>32543.590000000004</v>
      </c>
      <c r="I7" s="194" cm="1">
        <f t="array" ref="I7">SUM(_xlfn._xlws.FILTER(INDEX(yearly_total_payments,_xlfn.SEQUENCE(ROWS(yearly_total_payments)),MATCH(_xlfn.SEQUENCE(1,MATCH(I$5,$H$5:$O$5),$G7),$G$6:$G$13,0)),(claim_type=$C$5)*(accident_year=$G7)*(total_claim_payment&lt;250000),""))</f>
        <v>34181.910000000003</v>
      </c>
      <c r="J7" s="194" cm="1">
        <f t="array" ref="J7">SUM(_xlfn._xlws.FILTER(INDEX(yearly_total_payments,_xlfn.SEQUENCE(ROWS(yearly_total_payments)),MATCH(_xlfn.SEQUENCE(1,MATCH(J$5,$H$5:$O$5),$G7),$G$6:$G$13,0)),(claim_type=$C$5)*(accident_year=$G7)*(total_claim_payment&lt;250000),""))</f>
        <v>34181.910000000003</v>
      </c>
      <c r="K7" s="194" cm="1">
        <f t="array" ref="K7">SUM(_xlfn._xlws.FILTER(INDEX(yearly_total_payments,_xlfn.SEQUENCE(ROWS(yearly_total_payments)),MATCH(_xlfn.SEQUENCE(1,MATCH(K$5,$H$5:$O$5),$G7),$G$6:$G$13,0)),(claim_type=$C$5)*(accident_year=$G7)*(total_claim_payment&lt;250000),""))</f>
        <v>34181.910000000003</v>
      </c>
      <c r="L7" s="194" cm="1">
        <f t="array" ref="L7">SUM(_xlfn._xlws.FILTER(INDEX(yearly_total_payments,_xlfn.SEQUENCE(ROWS(yearly_total_payments)),MATCH(_xlfn.SEQUENCE(1,MATCH(L$5,$H$5:$O$5),$G7),$G$6:$G$13,0)),(claim_type=$C$5)*(accident_year=$G7)*(total_claim_payment&lt;250000),""))</f>
        <v>34181.910000000003</v>
      </c>
      <c r="M7" s="194" cm="1">
        <f t="array" ref="M7">SUM(_xlfn._xlws.FILTER(INDEX(yearly_total_payments,_xlfn.SEQUENCE(ROWS(yearly_total_payments)),MATCH(_xlfn.SEQUENCE(1,MATCH(M$5,$H$5:$O$5),$G7),$G$6:$G$13,0)),(claim_type=$C$5)*(accident_year=$G7)*(total_claim_payment&lt;250000),""))</f>
        <v>34181.910000000003</v>
      </c>
      <c r="N7" s="194" cm="1">
        <f t="array" ref="N7">SUM(_xlfn._xlws.FILTER(INDEX(yearly_total_payments,_xlfn.SEQUENCE(ROWS(yearly_total_payments)),MATCH(_xlfn.SEQUENCE(1,MATCH(N$5,$H$5:$O$5),$G7),$G$6:$G$13,0)),(claim_type=$C$5)*(accident_year=$G7)*(total_claim_payment&lt;250000),""))</f>
        <v>34181.910000000003</v>
      </c>
      <c r="O7" s="91"/>
    </row>
    <row r="8" spans="2:18" x14ac:dyDescent="0.45">
      <c r="F8" s="130"/>
      <c r="G8" s="193">
        <v>2020</v>
      </c>
      <c r="H8" s="194" cm="1">
        <f t="array" ref="H8">SUM(_xlfn._xlws.FILTER(INDEX(yearly_total_payments,_xlfn.SEQUENCE(ROWS(yearly_total_payments)),MATCH(_xlfn.SEQUENCE(1,MATCH(H$5,$H$5:$O$5),$G8),$G$6:$G$13,0)),(claim_type=$C$5)*(accident_year=$G8)*(total_claim_payment&lt;250000),""))</f>
        <v>17455.409999999996</v>
      </c>
      <c r="I8" s="194" cm="1">
        <f t="array" ref="I8">SUM(_xlfn._xlws.FILTER(INDEX(yearly_total_payments,_xlfn.SEQUENCE(ROWS(yearly_total_payments)),MATCH(_xlfn.SEQUENCE(1,MATCH(I$5,$H$5:$O$5),$G8),$G$6:$G$13,0)),(claim_type=$C$5)*(accident_year=$G8)*(total_claim_payment&lt;250000),""))</f>
        <v>17455.409999999996</v>
      </c>
      <c r="J8" s="194" cm="1">
        <f t="array" ref="J8">SUM(_xlfn._xlws.FILTER(INDEX(yearly_total_payments,_xlfn.SEQUENCE(ROWS(yearly_total_payments)),MATCH(_xlfn.SEQUENCE(1,MATCH(J$5,$H$5:$O$5),$G8),$G$6:$G$13,0)),(claim_type=$C$5)*(accident_year=$G8)*(total_claim_payment&lt;250000),""))</f>
        <v>17455.409999999996</v>
      </c>
      <c r="K8" s="194" cm="1">
        <f t="array" ref="K8">SUM(_xlfn._xlws.FILTER(INDEX(yearly_total_payments,_xlfn.SEQUENCE(ROWS(yearly_total_payments)),MATCH(_xlfn.SEQUENCE(1,MATCH(K$5,$H$5:$O$5),$G8),$G$6:$G$13,0)),(claim_type=$C$5)*(accident_year=$G8)*(total_claim_payment&lt;250000),""))</f>
        <v>17455.409999999996</v>
      </c>
      <c r="L8" s="194" cm="1">
        <f t="array" ref="L8">SUM(_xlfn._xlws.FILTER(INDEX(yearly_total_payments,_xlfn.SEQUENCE(ROWS(yearly_total_payments)),MATCH(_xlfn.SEQUENCE(1,MATCH(L$5,$H$5:$O$5),$G8),$G$6:$G$13,0)),(claim_type=$C$5)*(accident_year=$G8)*(total_claim_payment&lt;250000),""))</f>
        <v>17455.409999999996</v>
      </c>
      <c r="M8" s="194" cm="1">
        <f t="array" ref="M8">SUM(_xlfn._xlws.FILTER(INDEX(yearly_total_payments,_xlfn.SEQUENCE(ROWS(yearly_total_payments)),MATCH(_xlfn.SEQUENCE(1,MATCH(M$5,$H$5:$O$5),$G8),$G$6:$G$13,0)),(claim_type=$C$5)*(accident_year=$G8)*(total_claim_payment&lt;250000),""))</f>
        <v>17455.409999999996</v>
      </c>
      <c r="N8" s="195"/>
      <c r="O8" s="91"/>
    </row>
    <row r="9" spans="2:18" ht="14.25" customHeight="1" x14ac:dyDescent="0.45">
      <c r="F9" s="130"/>
      <c r="G9" s="193">
        <v>2021</v>
      </c>
      <c r="H9" s="194" cm="1">
        <f t="array" ref="H9">SUM(_xlfn._xlws.FILTER(INDEX(yearly_total_payments,_xlfn.SEQUENCE(ROWS(yearly_total_payments)),MATCH(_xlfn.SEQUENCE(1,MATCH(H$5,$H$5:$O$5),$G9),$G$6:$G$13,0)),(claim_type=$C$5)*(accident_year=$G9)*(total_claim_payment&lt;250000),""))</f>
        <v>19859.899999999998</v>
      </c>
      <c r="I9" s="194" cm="1">
        <f t="array" ref="I9">SUM(_xlfn._xlws.FILTER(INDEX(yearly_total_payments,_xlfn.SEQUENCE(ROWS(yearly_total_payments)),MATCH(_xlfn.SEQUENCE(1,MATCH(I$5,$H$5:$O$5),$G9),$G$6:$G$13,0)),(claim_type=$C$5)*(accident_year=$G9)*(total_claim_payment&lt;250000),""))</f>
        <v>19859.899999999998</v>
      </c>
      <c r="J9" s="194" cm="1">
        <f t="array" ref="J9">SUM(_xlfn._xlws.FILTER(INDEX(yearly_total_payments,_xlfn.SEQUENCE(ROWS(yearly_total_payments)),MATCH(_xlfn.SEQUENCE(1,MATCH(J$5,$H$5:$O$5),$G9),$G$6:$G$13,0)),(claim_type=$C$5)*(accident_year=$G9)*(total_claim_payment&lt;250000),""))</f>
        <v>19859.899999999998</v>
      </c>
      <c r="K9" s="194" cm="1">
        <f t="array" ref="K9">SUM(_xlfn._xlws.FILTER(INDEX(yearly_total_payments,_xlfn.SEQUENCE(ROWS(yearly_total_payments)),MATCH(_xlfn.SEQUENCE(1,MATCH(K$5,$H$5:$O$5),$G9),$G$6:$G$13,0)),(claim_type=$C$5)*(accident_year=$G9)*(total_claim_payment&lt;250000),""))</f>
        <v>19859.899999999998</v>
      </c>
      <c r="L9" s="194" cm="1">
        <f t="array" ref="L9">SUM(_xlfn._xlws.FILTER(INDEX(yearly_total_payments,_xlfn.SEQUENCE(ROWS(yearly_total_payments)),MATCH(_xlfn.SEQUENCE(1,MATCH(L$5,$H$5:$O$5),$G9),$G$6:$G$13,0)),(claim_type=$C$5)*(accident_year=$G9)*(total_claim_payment&lt;250000),""))</f>
        <v>19859.899999999998</v>
      </c>
      <c r="M9" s="195"/>
      <c r="N9" s="195"/>
      <c r="O9" s="91"/>
    </row>
    <row r="10" spans="2:18" x14ac:dyDescent="0.45">
      <c r="F10" s="130"/>
      <c r="G10" s="193">
        <v>2022</v>
      </c>
      <c r="H10" s="194" cm="1">
        <f t="array" ref="H10">SUM(_xlfn._xlws.FILTER(INDEX(yearly_total_payments,_xlfn.SEQUENCE(ROWS(yearly_total_payments)),MATCH(_xlfn.SEQUENCE(1,MATCH(H$5,$H$5:$O$5),$G10),$G$6:$G$13,0)),(claim_type=$C$5)*(accident_year=$G10)*(total_claim_payment&lt;250000),""))</f>
        <v>58236.970000000008</v>
      </c>
      <c r="I10" s="194" cm="1">
        <f t="array" ref="I10">SUM(_xlfn._xlws.FILTER(INDEX(yearly_total_payments,_xlfn.SEQUENCE(ROWS(yearly_total_payments)),MATCH(_xlfn.SEQUENCE(1,MATCH(I$5,$H$5:$O$5),$G10),$G$6:$G$13,0)),(claim_type=$C$5)*(accident_year=$G10)*(total_claim_payment&lt;250000),""))</f>
        <v>59778.55000000001</v>
      </c>
      <c r="J10" s="194" cm="1">
        <f t="array" ref="J10">SUM(_xlfn._xlws.FILTER(INDEX(yearly_total_payments,_xlfn.SEQUENCE(ROWS(yearly_total_payments)),MATCH(_xlfn.SEQUENCE(1,MATCH(J$5,$H$5:$O$5),$G10),$G$6:$G$13,0)),(claim_type=$C$5)*(accident_year=$G10)*(total_claim_payment&lt;250000),""))</f>
        <v>59778.55000000001</v>
      </c>
      <c r="K10" s="194" cm="1">
        <f t="array" ref="K10">SUM(_xlfn._xlws.FILTER(INDEX(yearly_total_payments,_xlfn.SEQUENCE(ROWS(yearly_total_payments)),MATCH(_xlfn.SEQUENCE(1,MATCH(K$5,$H$5:$O$5),$G10),$G$6:$G$13,0)),(claim_type=$C$5)*(accident_year=$G10)*(total_claim_payment&lt;250000),""))</f>
        <v>59778.55000000001</v>
      </c>
      <c r="L10" s="195"/>
      <c r="M10" s="195"/>
      <c r="N10" s="195"/>
      <c r="O10" s="91"/>
    </row>
    <row r="11" spans="2:18" x14ac:dyDescent="0.45">
      <c r="F11" s="130"/>
      <c r="G11" s="193">
        <v>2023</v>
      </c>
      <c r="H11" s="194" cm="1">
        <f t="array" ref="H11">SUM(_xlfn._xlws.FILTER(INDEX(yearly_total_payments,_xlfn.SEQUENCE(ROWS(yearly_total_payments)),MATCH(_xlfn.SEQUENCE(1,MATCH(H$5,$H$5:$O$5),$G11),$G$6:$G$13,0)),(claim_type=$C$5)*(accident_year=$G11)*(total_claim_payment&lt;250000),""))</f>
        <v>44122.500000000007</v>
      </c>
      <c r="I11" s="194" cm="1">
        <f t="array" ref="I11">SUM(_xlfn._xlws.FILTER(INDEX(yearly_total_payments,_xlfn.SEQUENCE(ROWS(yearly_total_payments)),MATCH(_xlfn.SEQUENCE(1,MATCH(I$5,$H$5:$O$5),$G11),$G$6:$G$13,0)),(claim_type=$C$5)*(accident_year=$G11)*(total_claim_payment&lt;250000),""))</f>
        <v>66716.040000000008</v>
      </c>
      <c r="J11" s="194" cm="1">
        <f t="array" ref="J11">SUM(_xlfn._xlws.FILTER(INDEX(yearly_total_payments,_xlfn.SEQUENCE(ROWS(yearly_total_payments)),MATCH(_xlfn.SEQUENCE(1,MATCH(J$5,$H$5:$O$5),$G11),$G$6:$G$13,0)),(claim_type=$C$5)*(accident_year=$G11)*(total_claim_payment&lt;250000),""))</f>
        <v>66716.040000000008</v>
      </c>
      <c r="K11" s="195"/>
      <c r="L11" s="195"/>
      <c r="M11" s="195"/>
      <c r="N11" s="195"/>
      <c r="O11" s="91"/>
    </row>
    <row r="12" spans="2:18" x14ac:dyDescent="0.45">
      <c r="F12" s="130"/>
      <c r="G12" s="193">
        <v>2024</v>
      </c>
      <c r="H12" s="194" cm="1">
        <f t="array" ref="H12">SUM(_xlfn._xlws.FILTER(INDEX(yearly_total_payments,_xlfn.SEQUENCE(ROWS(yearly_total_payments)),MATCH(_xlfn.SEQUENCE(1,MATCH(H$5,$H$5:$O$5),$G12),$G$6:$G$13,0)),(claim_type=$C$5)*(accident_year=$G12)*(total_claim_payment&lt;250000),""))</f>
        <v>19432.149999999998</v>
      </c>
      <c r="I12" s="194" cm="1">
        <f t="array" ref="I12">SUM(_xlfn._xlws.FILTER(INDEX(yearly_total_payments,_xlfn.SEQUENCE(ROWS(yearly_total_payments)),MATCH(_xlfn.SEQUENCE(1,MATCH(I$5,$H$5:$O$5),$G12),$G$6:$G$13,0)),(claim_type=$C$5)*(accident_year=$G12)*(total_claim_payment&lt;250000),""))</f>
        <v>19432.149999999998</v>
      </c>
      <c r="J12" s="195"/>
      <c r="K12" s="195"/>
      <c r="L12" s="195"/>
      <c r="M12" s="195"/>
      <c r="N12" s="195"/>
      <c r="O12" s="91"/>
    </row>
    <row r="13" spans="2:18" ht="14.65" thickBot="1" x14ac:dyDescent="0.5">
      <c r="F13" s="131"/>
      <c r="G13" s="92">
        <v>2025</v>
      </c>
      <c r="H13" s="93" cm="1">
        <f t="array" ref="H13">SUM(_xlfn._xlws.FILTER(INDEX(yearly_total_payments,_xlfn.SEQUENCE(ROWS(yearly_total_payments)),MATCH(_xlfn.SEQUENCE(1,MATCH(H$5,$H$5:$O$5),$G13),$G$6:$G$13,0)),(claim_type=$C$5)*(accident_year=$G13)*(total_claim_payment&lt;250000),""))</f>
        <v>19813.189999999999</v>
      </c>
      <c r="I13" s="88"/>
      <c r="J13" s="88"/>
      <c r="K13" s="88"/>
      <c r="L13" s="88"/>
      <c r="M13" s="88"/>
      <c r="N13" s="88"/>
      <c r="O13" s="89"/>
    </row>
    <row r="14" spans="2:18" ht="14.65" thickBot="1" x14ac:dyDescent="0.5"/>
    <row r="15" spans="2:18" x14ac:dyDescent="0.45">
      <c r="F15" s="132" t="s">
        <v>578</v>
      </c>
      <c r="G15" s="133"/>
      <c r="H15" s="133"/>
      <c r="I15" s="95" t="s">
        <v>30</v>
      </c>
      <c r="J15" s="96" t="s">
        <v>31</v>
      </c>
      <c r="K15" s="96" t="s">
        <v>37</v>
      </c>
      <c r="L15" s="96" t="s">
        <v>41</v>
      </c>
      <c r="M15" s="96" t="s">
        <v>45</v>
      </c>
      <c r="N15" s="96" t="s">
        <v>46</v>
      </c>
      <c r="O15" s="96" t="s">
        <v>50</v>
      </c>
      <c r="P15" s="96" t="s">
        <v>51</v>
      </c>
      <c r="Q15" s="96" t="s">
        <v>52</v>
      </c>
      <c r="R15" s="97" t="s">
        <v>53</v>
      </c>
    </row>
    <row r="16" spans="2:18" ht="14.65" thickBot="1" x14ac:dyDescent="0.5">
      <c r="F16" s="147" t="s">
        <v>583</v>
      </c>
      <c r="G16" s="136"/>
      <c r="H16" s="136"/>
      <c r="I16" s="93" cm="1">
        <f t="array" ref="I16">AVERAGE(I6:I12/H6:H12)</f>
        <v>1.1159118492069002</v>
      </c>
      <c r="J16" s="93" cm="1">
        <f t="array" ref="J16">AVERAGE(J6:J11/I6:I11)</f>
        <v>1</v>
      </c>
      <c r="K16" s="93" cm="1">
        <f t="array" ref="K16">AVERAGE(K6:K10/J6:J10)</f>
        <v>1</v>
      </c>
      <c r="L16" s="93" cm="1">
        <f t="array" ref="L16">AVERAGE(L6:L9/K6:K9)</f>
        <v>1</v>
      </c>
      <c r="M16" s="93" cm="1">
        <f t="array" ref="M16">AVERAGE(M6:M8/L6:L8)</f>
        <v>1</v>
      </c>
      <c r="N16" s="93" cm="1">
        <f t="array" ref="N16">AVERAGE(N6:N7/M6:M7)</f>
        <v>1</v>
      </c>
      <c r="O16" s="93">
        <f>AVERAGE(O6/N6)</f>
        <v>1</v>
      </c>
      <c r="P16" s="93">
        <v>1</v>
      </c>
      <c r="Q16" s="93">
        <v>1</v>
      </c>
      <c r="R16" s="94">
        <v>1</v>
      </c>
    </row>
    <row r="17" spans="6:18" ht="14.65" thickBot="1" x14ac:dyDescent="0.5"/>
    <row r="18" spans="6:18" x14ac:dyDescent="0.45">
      <c r="F18" s="132" t="s">
        <v>604</v>
      </c>
      <c r="G18" s="133"/>
      <c r="H18" s="133"/>
      <c r="I18" s="133"/>
      <c r="J18" s="133"/>
      <c r="K18" s="133"/>
      <c r="L18" s="133"/>
      <c r="M18" s="133"/>
      <c r="N18" s="133"/>
      <c r="O18" s="133"/>
      <c r="P18" s="133"/>
      <c r="Q18" s="133"/>
      <c r="R18" s="146"/>
    </row>
    <row r="19" spans="6:18" x14ac:dyDescent="0.45">
      <c r="F19" s="180"/>
      <c r="G19" s="181"/>
      <c r="H19" s="181"/>
      <c r="I19" s="182" t="s">
        <v>578</v>
      </c>
      <c r="J19" s="182"/>
      <c r="K19" s="182"/>
      <c r="L19" s="182"/>
      <c r="M19" s="182"/>
      <c r="N19" s="182"/>
      <c r="O19" s="182"/>
      <c r="P19" s="182"/>
      <c r="Q19" s="182"/>
      <c r="R19" s="183"/>
    </row>
    <row r="20" spans="6:18" x14ac:dyDescent="0.45">
      <c r="F20" s="179"/>
      <c r="G20" s="181"/>
      <c r="H20" s="181"/>
      <c r="I20" s="196" t="s">
        <v>30</v>
      </c>
      <c r="J20" s="197" t="s">
        <v>31</v>
      </c>
      <c r="K20" s="197" t="s">
        <v>37</v>
      </c>
      <c r="L20" s="197" t="s">
        <v>41</v>
      </c>
      <c r="M20" s="197" t="s">
        <v>45</v>
      </c>
      <c r="N20" s="197" t="s">
        <v>46</v>
      </c>
      <c r="O20" s="197" t="s">
        <v>50</v>
      </c>
      <c r="P20" s="197" t="s">
        <v>51</v>
      </c>
      <c r="Q20" s="197" t="s">
        <v>52</v>
      </c>
      <c r="R20" s="103" t="s">
        <v>53</v>
      </c>
    </row>
    <row r="21" spans="6:18" ht="14.25" customHeight="1" x14ac:dyDescent="0.45">
      <c r="F21" s="127" t="s">
        <v>598</v>
      </c>
      <c r="G21" s="198"/>
      <c r="H21" s="199" t="s">
        <v>10</v>
      </c>
      <c r="I21" s="200">
        <v>1.1607575320677628</v>
      </c>
      <c r="J21" s="200">
        <v>1</v>
      </c>
      <c r="K21" s="200">
        <v>1</v>
      </c>
      <c r="L21" s="200">
        <v>1</v>
      </c>
      <c r="M21" s="200">
        <v>1</v>
      </c>
      <c r="N21" s="200">
        <v>1</v>
      </c>
      <c r="O21" s="200">
        <v>1</v>
      </c>
      <c r="P21" s="200">
        <v>1</v>
      </c>
      <c r="Q21" s="200">
        <v>1</v>
      </c>
      <c r="R21" s="105">
        <v>1</v>
      </c>
    </row>
    <row r="22" spans="6:18" x14ac:dyDescent="0.45">
      <c r="F22" s="127"/>
      <c r="G22" s="198"/>
      <c r="H22" s="199" t="s">
        <v>13</v>
      </c>
      <c r="I22" s="200">
        <v>1.6407123318120043</v>
      </c>
      <c r="J22" s="200">
        <v>1.0040569094043896</v>
      </c>
      <c r="K22" s="200">
        <v>1</v>
      </c>
      <c r="L22" s="200">
        <v>1</v>
      </c>
      <c r="M22" s="200">
        <v>1</v>
      </c>
      <c r="N22" s="200">
        <v>1</v>
      </c>
      <c r="O22" s="200">
        <v>1</v>
      </c>
      <c r="P22" s="200">
        <v>1</v>
      </c>
      <c r="Q22" s="200">
        <v>1</v>
      </c>
      <c r="R22" s="105">
        <v>1</v>
      </c>
    </row>
    <row r="23" spans="6:18" x14ac:dyDescent="0.45">
      <c r="F23" s="127"/>
      <c r="G23" s="198"/>
      <c r="H23" s="199" t="s">
        <v>19</v>
      </c>
      <c r="I23" s="200">
        <v>2.7751725943454604</v>
      </c>
      <c r="J23" s="200">
        <v>1.1880708073380679</v>
      </c>
      <c r="K23" s="200">
        <v>1.0013697949372404</v>
      </c>
      <c r="L23" s="200">
        <v>1</v>
      </c>
      <c r="M23" s="200">
        <v>1</v>
      </c>
      <c r="N23" s="200">
        <v>1</v>
      </c>
      <c r="O23" s="200">
        <v>1</v>
      </c>
      <c r="P23" s="200">
        <v>1</v>
      </c>
      <c r="Q23" s="200">
        <v>1</v>
      </c>
      <c r="R23" s="105">
        <v>1</v>
      </c>
    </row>
    <row r="24" spans="6:18" ht="14.25" customHeight="1" x14ac:dyDescent="0.45">
      <c r="F24" s="127"/>
      <c r="G24" s="198"/>
      <c r="H24" s="199" t="s">
        <v>16</v>
      </c>
      <c r="I24" s="200">
        <v>2.6176051579307886</v>
      </c>
      <c r="J24" s="200">
        <v>1.0410290630269809</v>
      </c>
      <c r="K24" s="200">
        <v>1</v>
      </c>
      <c r="L24" s="200">
        <v>1</v>
      </c>
      <c r="M24" s="200">
        <v>1</v>
      </c>
      <c r="N24" s="200">
        <v>1</v>
      </c>
      <c r="O24" s="200">
        <v>1</v>
      </c>
      <c r="P24" s="200">
        <v>1</v>
      </c>
      <c r="Q24" s="200">
        <v>1</v>
      </c>
      <c r="R24" s="105">
        <v>1</v>
      </c>
    </row>
    <row r="25" spans="6:18" ht="14.65" thickBot="1" x14ac:dyDescent="0.5">
      <c r="F25" s="128"/>
      <c r="G25" s="129"/>
      <c r="H25" s="106" t="s">
        <v>7</v>
      </c>
      <c r="I25" s="107">
        <v>1.1159118492069002</v>
      </c>
      <c r="J25" s="107">
        <v>1</v>
      </c>
      <c r="K25" s="107">
        <v>1</v>
      </c>
      <c r="L25" s="107">
        <v>1</v>
      </c>
      <c r="M25" s="107">
        <v>1</v>
      </c>
      <c r="N25" s="107">
        <v>1</v>
      </c>
      <c r="O25" s="107">
        <v>1</v>
      </c>
      <c r="P25" s="107">
        <v>1</v>
      </c>
      <c r="Q25" s="107">
        <v>1</v>
      </c>
      <c r="R25" s="108">
        <v>1</v>
      </c>
    </row>
    <row r="26" spans="6:18" ht="14.65" thickBot="1" x14ac:dyDescent="0.5"/>
    <row r="27" spans="6:18" ht="14.65" thickBot="1" x14ac:dyDescent="0.5">
      <c r="F27" s="143" t="s">
        <v>584</v>
      </c>
      <c r="G27" s="144"/>
      <c r="H27" s="98" cm="1">
        <f t="array" ref="H27">SUM((claim_type=C5)*(total_claim_payment&lt;250000))/1082</f>
        <v>7.1164510166358594E-2</v>
      </c>
    </row>
    <row r="28" spans="6:18" ht="14.65" thickBot="1" x14ac:dyDescent="0.5"/>
    <row r="29" spans="6:18" x14ac:dyDescent="0.45">
      <c r="F29" s="132" t="s">
        <v>578</v>
      </c>
      <c r="G29" s="133"/>
      <c r="H29" s="133"/>
      <c r="I29" s="95" t="s">
        <v>30</v>
      </c>
      <c r="J29" s="96" t="s">
        <v>31</v>
      </c>
      <c r="K29" s="96" t="s">
        <v>37</v>
      </c>
      <c r="L29" s="96" t="s">
        <v>41</v>
      </c>
      <c r="M29" s="96" t="s">
        <v>45</v>
      </c>
      <c r="N29" s="96" t="s">
        <v>46</v>
      </c>
      <c r="O29" s="96" t="s">
        <v>50</v>
      </c>
      <c r="P29" s="96" t="s">
        <v>51</v>
      </c>
      <c r="Q29" s="96" t="s">
        <v>52</v>
      </c>
      <c r="R29" s="97" t="s">
        <v>53</v>
      </c>
    </row>
    <row r="30" spans="6:18" ht="30.4" customHeight="1" thickBot="1" x14ac:dyDescent="0.5">
      <c r="F30" s="134" t="s">
        <v>586</v>
      </c>
      <c r="G30" s="135"/>
      <c r="H30" s="135"/>
      <c r="I30" s="93">
        <f>IFERROR(INDEX(_xlfn.IFS($C$5="Fire",fire_df,$C$5="Flood",flood_df,$C$5="Theft",theft_df,$C$5="Water Damage",waterdamage_df,$C$5="Wind/Hail",windhail_df),2,MATCH(I29,$I$29:$R$29,0)),1)</f>
        <v>1.1919999999999999</v>
      </c>
      <c r="J30" s="93">
        <f t="shared" ref="I30:R30" si="0">IFERROR(INDEX(_xlfn.IFS($C$5="Fire",fire_df,$C$5="Flood",flood_df,$C$5="Theft",theft_df,$C$5="Water Damage",waterdamage_df,$C$5="Wind/Hail",windhail_df),2,MATCH(J29,$I$29:$R$29,0)),1)</f>
        <v>1.024</v>
      </c>
      <c r="K30" s="93">
        <f t="shared" si="0"/>
        <v>1.006</v>
      </c>
      <c r="L30" s="93">
        <f t="shared" si="0"/>
        <v>1</v>
      </c>
      <c r="M30" s="93">
        <f t="shared" si="0"/>
        <v>1</v>
      </c>
      <c r="N30" s="93">
        <f t="shared" si="0"/>
        <v>1</v>
      </c>
      <c r="O30" s="93">
        <f t="shared" si="0"/>
        <v>1</v>
      </c>
      <c r="P30" s="93">
        <f t="shared" si="0"/>
        <v>1</v>
      </c>
      <c r="Q30" s="93">
        <f t="shared" si="0"/>
        <v>1</v>
      </c>
      <c r="R30" s="94">
        <f t="shared" si="0"/>
        <v>1</v>
      </c>
    </row>
    <row r="31" spans="6:18" ht="14.65" thickBot="1" x14ac:dyDescent="0.5"/>
    <row r="32" spans="6:18" x14ac:dyDescent="0.45">
      <c r="F32" s="132" t="s">
        <v>578</v>
      </c>
      <c r="G32" s="133"/>
      <c r="H32" s="133"/>
      <c r="I32" s="95" t="s">
        <v>30</v>
      </c>
      <c r="J32" s="96" t="s">
        <v>31</v>
      </c>
      <c r="K32" s="96" t="s">
        <v>37</v>
      </c>
      <c r="L32" s="96" t="s">
        <v>41</v>
      </c>
      <c r="M32" s="96" t="s">
        <v>45</v>
      </c>
      <c r="N32" s="96" t="s">
        <v>46</v>
      </c>
      <c r="O32" s="96" t="s">
        <v>50</v>
      </c>
      <c r="P32" s="96" t="s">
        <v>51</v>
      </c>
      <c r="Q32" s="96" t="s">
        <v>52</v>
      </c>
      <c r="R32" s="97" t="s">
        <v>53</v>
      </c>
    </row>
    <row r="33" spans="6:18" ht="30.4" customHeight="1" thickBot="1" x14ac:dyDescent="0.5">
      <c r="F33" s="134" t="s">
        <v>585</v>
      </c>
      <c r="G33" s="136"/>
      <c r="H33" s="136"/>
      <c r="I33" s="93">
        <f t="shared" ref="I33:R33" si="1">$H$27*I16+(1-$H$27)*I30</f>
        <v>1.1865852240193451</v>
      </c>
      <c r="J33" s="93">
        <f t="shared" si="1"/>
        <v>1.0222920517560075</v>
      </c>
      <c r="K33" s="93">
        <f t="shared" si="1"/>
        <v>1.0055730129390017</v>
      </c>
      <c r="L33" s="93">
        <f t="shared" si="1"/>
        <v>1</v>
      </c>
      <c r="M33" s="93">
        <f t="shared" si="1"/>
        <v>1</v>
      </c>
      <c r="N33" s="93">
        <f t="shared" si="1"/>
        <v>1</v>
      </c>
      <c r="O33" s="93">
        <f t="shared" si="1"/>
        <v>1</v>
      </c>
      <c r="P33" s="93">
        <f t="shared" si="1"/>
        <v>1</v>
      </c>
      <c r="Q33" s="93">
        <f t="shared" si="1"/>
        <v>1</v>
      </c>
      <c r="R33" s="94">
        <f t="shared" si="1"/>
        <v>1</v>
      </c>
    </row>
    <row r="34" spans="6:18" ht="14.65" thickBot="1" x14ac:dyDescent="0.5"/>
    <row r="35" spans="6:18" x14ac:dyDescent="0.45">
      <c r="F35" s="132" t="s">
        <v>578</v>
      </c>
      <c r="G35" s="133"/>
      <c r="H35" s="133"/>
      <c r="I35" s="95" t="s">
        <v>592</v>
      </c>
      <c r="J35" s="96" t="s">
        <v>593</v>
      </c>
      <c r="K35" s="96" t="s">
        <v>32</v>
      </c>
      <c r="L35" s="96" t="s">
        <v>38</v>
      </c>
      <c r="M35" s="96" t="s">
        <v>42</v>
      </c>
      <c r="N35" s="96" t="s">
        <v>594</v>
      </c>
      <c r="O35" s="96" t="s">
        <v>47</v>
      </c>
      <c r="P35" s="97" t="s">
        <v>589</v>
      </c>
    </row>
    <row r="36" spans="6:18" ht="28.9" customHeight="1" thickBot="1" x14ac:dyDescent="0.5">
      <c r="F36" s="134" t="s">
        <v>595</v>
      </c>
      <c r="G36" s="136"/>
      <c r="H36" s="136"/>
      <c r="I36" s="93">
        <f>PRODUCT(I$33:$R$33)</f>
        <v>1.2197969121543917</v>
      </c>
      <c r="J36" s="93">
        <f>PRODUCT(J$33:$R$33)</f>
        <v>1.0279892985878822</v>
      </c>
      <c r="K36" s="93">
        <f>PRODUCT(K$33:$R$33)</f>
        <v>1.0055730129390017</v>
      </c>
      <c r="L36" s="93">
        <f>PRODUCT(L$33:$R$33)</f>
        <v>1</v>
      </c>
      <c r="M36" s="93">
        <f>PRODUCT(M$33:$R$33)</f>
        <v>1</v>
      </c>
      <c r="N36" s="93">
        <f>PRODUCT(N$33:$R$33)</f>
        <v>1</v>
      </c>
      <c r="O36" s="93">
        <f>PRODUCT(O$33:$R$33)</f>
        <v>1</v>
      </c>
      <c r="P36" s="94">
        <f>PRODUCT(P$33:$R$33)</f>
        <v>1</v>
      </c>
    </row>
    <row r="37" spans="6:18" ht="14.65" thickBot="1" x14ac:dyDescent="0.5"/>
    <row r="38" spans="6:18" x14ac:dyDescent="0.45">
      <c r="F38" s="132" t="s">
        <v>605</v>
      </c>
      <c r="G38" s="133"/>
      <c r="H38" s="133"/>
      <c r="I38" s="133"/>
      <c r="J38" s="133"/>
      <c r="K38" s="133"/>
      <c r="L38" s="133"/>
      <c r="M38" s="133"/>
      <c r="N38" s="133"/>
      <c r="O38" s="133"/>
      <c r="P38" s="146"/>
    </row>
    <row r="39" spans="6:18" ht="28.15" customHeight="1" x14ac:dyDescent="0.45">
      <c r="F39" s="185"/>
      <c r="G39" s="186"/>
      <c r="H39" s="186"/>
      <c r="I39" s="187" t="s">
        <v>578</v>
      </c>
      <c r="J39" s="187"/>
      <c r="K39" s="187"/>
      <c r="L39" s="187"/>
      <c r="M39" s="187"/>
      <c r="N39" s="187"/>
      <c r="O39" s="187"/>
      <c r="P39" s="188"/>
    </row>
    <row r="40" spans="6:18" x14ac:dyDescent="0.45">
      <c r="F40" s="184"/>
      <c r="G40" s="186"/>
      <c r="H40" s="186"/>
      <c r="I40" s="201" t="s">
        <v>592</v>
      </c>
      <c r="J40" s="202" t="s">
        <v>593</v>
      </c>
      <c r="K40" s="202" t="s">
        <v>32</v>
      </c>
      <c r="L40" s="202" t="s">
        <v>38</v>
      </c>
      <c r="M40" s="202" t="s">
        <v>42</v>
      </c>
      <c r="N40" s="202" t="s">
        <v>594</v>
      </c>
      <c r="O40" s="202" t="s">
        <v>47</v>
      </c>
      <c r="P40" s="118" t="s">
        <v>589</v>
      </c>
    </row>
    <row r="41" spans="6:18" x14ac:dyDescent="0.45">
      <c r="F41" s="127" t="s">
        <v>598</v>
      </c>
      <c r="G41" s="198"/>
      <c r="H41" s="199" t="s">
        <v>10</v>
      </c>
      <c r="I41" s="195">
        <v>1.8215283204559571</v>
      </c>
      <c r="J41" s="195">
        <v>1.148252298181458</v>
      </c>
      <c r="K41" s="195">
        <v>1.0433818180715524</v>
      </c>
      <c r="L41" s="195">
        <v>1.0089741219963031</v>
      </c>
      <c r="M41" s="195">
        <v>1</v>
      </c>
      <c r="N41" s="195">
        <v>1</v>
      </c>
      <c r="O41" s="195">
        <v>1</v>
      </c>
      <c r="P41" s="91">
        <v>1</v>
      </c>
    </row>
    <row r="42" spans="6:18" x14ac:dyDescent="0.45">
      <c r="F42" s="127"/>
      <c r="G42" s="198"/>
      <c r="H42" s="199" t="s">
        <v>13</v>
      </c>
      <c r="I42" s="195">
        <v>2.2981831361718568</v>
      </c>
      <c r="J42" s="195">
        <v>1.236375016961943</v>
      </c>
      <c r="K42" s="195">
        <v>1.0768908951218688</v>
      </c>
      <c r="L42" s="195">
        <v>1.0258595949036662</v>
      </c>
      <c r="M42" s="195">
        <v>1.0068613678373382</v>
      </c>
      <c r="N42" s="195">
        <v>1</v>
      </c>
      <c r="O42" s="195">
        <v>1</v>
      </c>
      <c r="P42" s="91">
        <v>1</v>
      </c>
    </row>
    <row r="43" spans="6:18" x14ac:dyDescent="0.45">
      <c r="F43" s="127"/>
      <c r="G43" s="198"/>
      <c r="H43" s="199" t="s">
        <v>19</v>
      </c>
      <c r="I43" s="195">
        <v>5.4945294523813999</v>
      </c>
      <c r="J43" s="195">
        <v>1.9257070205558737</v>
      </c>
      <c r="K43" s="195">
        <v>1.3805963803475469</v>
      </c>
      <c r="L43" s="195">
        <v>1.1862797004365981</v>
      </c>
      <c r="M43" s="195">
        <v>1.0956356002584677</v>
      </c>
      <c r="N43" s="195">
        <v>1.0502999187383606</v>
      </c>
      <c r="O43" s="195">
        <v>1.0263041313855044</v>
      </c>
      <c r="P43" s="91">
        <v>1.0135439687767456</v>
      </c>
    </row>
    <row r="44" spans="6:18" x14ac:dyDescent="0.45">
      <c r="F44" s="127"/>
      <c r="G44" s="198"/>
      <c r="H44" s="199" t="s">
        <v>16</v>
      </c>
      <c r="I44" s="195">
        <v>3.8126135382705324</v>
      </c>
      <c r="J44" s="195">
        <v>1.5921221807585901</v>
      </c>
      <c r="K44" s="195">
        <v>1.2367797032715229</v>
      </c>
      <c r="L44" s="195">
        <v>1.1016349551999678</v>
      </c>
      <c r="M44" s="195">
        <v>1.0436222878041554</v>
      </c>
      <c r="N44" s="195">
        <v>1.0163480889945025</v>
      </c>
      <c r="O44" s="195">
        <v>1.0047920517560074</v>
      </c>
      <c r="P44" s="91">
        <v>1</v>
      </c>
    </row>
    <row r="45" spans="6:18" ht="14.65" thickBot="1" x14ac:dyDescent="0.5">
      <c r="F45" s="128"/>
      <c r="G45" s="129"/>
      <c r="H45" s="106" t="s">
        <v>7</v>
      </c>
      <c r="I45" s="88">
        <v>1.2197969121543917</v>
      </c>
      <c r="J45" s="88">
        <v>1.0279892985878822</v>
      </c>
      <c r="K45" s="88">
        <v>1.0055730129390017</v>
      </c>
      <c r="L45" s="88">
        <v>1</v>
      </c>
      <c r="M45" s="88">
        <v>1</v>
      </c>
      <c r="N45" s="88">
        <v>1</v>
      </c>
      <c r="O45" s="88">
        <v>1</v>
      </c>
      <c r="P45" s="89">
        <v>1</v>
      </c>
    </row>
    <row r="46" spans="6:18" ht="14.65" thickBot="1" x14ac:dyDescent="0.5"/>
    <row r="47" spans="6:18" x14ac:dyDescent="0.45">
      <c r="F47" s="137" t="s">
        <v>590</v>
      </c>
      <c r="G47" s="138"/>
      <c r="H47" s="100">
        <v>2018</v>
      </c>
      <c r="I47" s="100">
        <v>2019</v>
      </c>
      <c r="J47" s="100">
        <v>2020</v>
      </c>
      <c r="K47" s="100">
        <v>2021</v>
      </c>
      <c r="L47" s="100">
        <v>2022</v>
      </c>
      <c r="M47" s="100">
        <v>2023</v>
      </c>
      <c r="N47" s="100">
        <v>2024</v>
      </c>
      <c r="O47" s="101">
        <v>2025</v>
      </c>
      <c r="P47" s="102" t="s">
        <v>596</v>
      </c>
    </row>
    <row r="48" spans="6:18" ht="29.25" customHeight="1" thickBot="1" x14ac:dyDescent="0.5">
      <c r="F48" s="139" t="s">
        <v>591</v>
      </c>
      <c r="G48" s="140"/>
      <c r="H48">
        <f t="shared" ref="H48:O48" si="2">SUMIFS(total_claim_payment,claim_type,$C$5,accident_year,H$47,total_claim_payment,"&lt;250000",claim_status,"Open")</f>
        <v>0</v>
      </c>
      <c r="I48">
        <f t="shared" si="2"/>
        <v>0</v>
      </c>
      <c r="J48">
        <f t="shared" si="2"/>
        <v>0</v>
      </c>
      <c r="K48">
        <f t="shared" si="2"/>
        <v>0</v>
      </c>
      <c r="L48">
        <f t="shared" si="2"/>
        <v>0</v>
      </c>
      <c r="M48">
        <f t="shared" si="2"/>
        <v>0</v>
      </c>
      <c r="N48">
        <f t="shared" si="2"/>
        <v>2485.08</v>
      </c>
      <c r="O48" s="91">
        <f t="shared" si="2"/>
        <v>19813.189999999999</v>
      </c>
      <c r="P48" s="119">
        <f>SUM(H48:O48)</f>
        <v>22298.269999999997</v>
      </c>
    </row>
    <row r="49" spans="6:16" ht="14.25" customHeight="1" thickBot="1" x14ac:dyDescent="0.5">
      <c r="F49" s="141" t="s">
        <v>588</v>
      </c>
      <c r="G49" s="142"/>
      <c r="H49" s="109">
        <f t="array" ref="H49:O49">INDEX(I36:P36,0,_xlfn.SEQUENCE(1,COLUMNS(I36:P36),COLUMNS(I36:P36),-1))*H48:O48</f>
        <v>0</v>
      </c>
      <c r="I49" s="109">
        <v>0</v>
      </c>
      <c r="J49" s="109">
        <v>0</v>
      </c>
      <c r="K49" s="109">
        <v>0</v>
      </c>
      <c r="L49" s="109">
        <v>0</v>
      </c>
      <c r="M49" s="109">
        <v>0</v>
      </c>
      <c r="N49" s="109">
        <v>2554.6356461347741</v>
      </c>
      <c r="O49" s="110">
        <v>24168.06798192827</v>
      </c>
      <c r="P49" s="120">
        <f>SUM(H49:O49)</f>
        <v>26722.703628063045</v>
      </c>
    </row>
    <row r="51" spans="6:16" ht="14.65" thickBot="1" x14ac:dyDescent="0.5"/>
    <row r="52" spans="6:16" ht="57" x14ac:dyDescent="0.45">
      <c r="F52" s="111"/>
      <c r="G52" s="87"/>
      <c r="H52" s="113" t="s">
        <v>599</v>
      </c>
      <c r="I52" s="114" t="s">
        <v>601</v>
      </c>
      <c r="J52" s="123" t="s">
        <v>603</v>
      </c>
      <c r="K52" s="115" t="s">
        <v>600</v>
      </c>
      <c r="L52" s="116" t="s">
        <v>602</v>
      </c>
    </row>
    <row r="53" spans="6:16" x14ac:dyDescent="0.45">
      <c r="F53" s="125" t="s">
        <v>597</v>
      </c>
      <c r="G53" s="104" t="s">
        <v>10</v>
      </c>
      <c r="H53">
        <v>97326.55</v>
      </c>
      <c r="I53">
        <v>0.81</v>
      </c>
      <c r="J53" s="117">
        <f>SUMIFS(total_claim_payment,claim_type,$G53,accident_year,2025,total_claim_payment,"&lt;250000",claim_status,"Open")*VLOOKUP($H41,$H$41:$I$45,2,0)</f>
        <v>75914.706464084258</v>
      </c>
      <c r="K53" s="117">
        <f>J53/H53</f>
        <v>0.77999997394425524</v>
      </c>
      <c r="L53" s="121">
        <f>$K53/$I53-1</f>
        <v>-3.7037069204623241E-2</v>
      </c>
    </row>
    <row r="54" spans="6:16" x14ac:dyDescent="0.45">
      <c r="F54" s="125"/>
      <c r="G54" s="104" t="s">
        <v>13</v>
      </c>
      <c r="H54">
        <v>229097.77</v>
      </c>
      <c r="I54">
        <v>0.87</v>
      </c>
      <c r="J54" s="117">
        <f>SUMIFS(total_claim_payment,claim_type,$G54,accident_year,2025,total_claim_payment,"&lt;250000",claim_status,"Open")*VLOOKUP($H42,$H$41:$I$45,2,0)</f>
        <v>199315.05743289794</v>
      </c>
      <c r="K54" s="117">
        <f>J54/H54</f>
        <v>0.86999998923122623</v>
      </c>
      <c r="L54" s="121">
        <f>$K54/$I54-1</f>
        <v>-1.2377900926452412E-8</v>
      </c>
    </row>
    <row r="55" spans="6:16" x14ac:dyDescent="0.45">
      <c r="F55" s="125"/>
      <c r="G55" s="104" t="s">
        <v>19</v>
      </c>
      <c r="H55">
        <v>249640.26</v>
      </c>
      <c r="I55">
        <v>0.72</v>
      </c>
      <c r="J55" s="117">
        <f>SUMIFS(total_claim_payment,claim_type,$G55,accident_year,2025,total_claim_payment,"&lt;250000",claim_status,"Open")*VLOOKUP($H43,$H$41:$I$45,2,0)</f>
        <v>182237.38801890102</v>
      </c>
      <c r="K55" s="117">
        <f>J55/H55</f>
        <v>0.72999999286533757</v>
      </c>
      <c r="L55" s="121">
        <f>$K55/$I55-1</f>
        <v>1.3888878979635644E-2</v>
      </c>
    </row>
    <row r="56" spans="6:16" x14ac:dyDescent="0.45">
      <c r="F56" s="125"/>
      <c r="G56" s="104" t="s">
        <v>16</v>
      </c>
      <c r="H56">
        <v>94518.03</v>
      </c>
      <c r="I56">
        <v>0.67</v>
      </c>
      <c r="J56" s="117">
        <f>SUMIFS(total_claim_payment,claim_type,$G56,accident_year,2025,total_claim_payment,"&lt;250000",claim_status,"Open")*VLOOKUP($H44,$H$41:$I$45,2,0)</f>
        <v>75614.420520457992</v>
      </c>
      <c r="K56" s="117">
        <f>J56/H56</f>
        <v>0.79999996318647348</v>
      </c>
      <c r="L56" s="121">
        <f>$K56/$I56-1</f>
        <v>0.19402979580070667</v>
      </c>
    </row>
    <row r="57" spans="6:16" ht="14.65" thickBot="1" x14ac:dyDescent="0.5">
      <c r="F57" s="126"/>
      <c r="G57" s="112" t="s">
        <v>7</v>
      </c>
      <c r="H57" s="88">
        <v>30210.080000000002</v>
      </c>
      <c r="I57" s="88">
        <v>0.81</v>
      </c>
      <c r="J57" s="99">
        <f>SUMIFS(total_claim_payment,claim_type,$G57,accident_year,2025,total_claim_payment,"&lt;250000",claim_status,"Open")*VLOOKUP($H45,$H$41:$I$45,2,0)</f>
        <v>24168.06798192827</v>
      </c>
      <c r="K57" s="99">
        <f>J57/H57</f>
        <v>0.80000013180793528</v>
      </c>
      <c r="L57" s="122">
        <f>$K57/$I57-1</f>
        <v>-1.2345516286499714E-2</v>
      </c>
    </row>
  </sheetData>
  <mergeCells count="26">
    <mergeCell ref="F38:P38"/>
    <mergeCell ref="F3:O3"/>
    <mergeCell ref="F27:G27"/>
    <mergeCell ref="F32:H32"/>
    <mergeCell ref="F33:H33"/>
    <mergeCell ref="B3:C3"/>
    <mergeCell ref="H4:O4"/>
    <mergeCell ref="F16:H16"/>
    <mergeCell ref="F15:H15"/>
    <mergeCell ref="F18:R18"/>
    <mergeCell ref="I19:R19"/>
    <mergeCell ref="F19:H20"/>
    <mergeCell ref="F4:G5"/>
    <mergeCell ref="F53:F57"/>
    <mergeCell ref="F41:G45"/>
    <mergeCell ref="I39:P39"/>
    <mergeCell ref="F39:H40"/>
    <mergeCell ref="F21:G25"/>
    <mergeCell ref="F6:F13"/>
    <mergeCell ref="F29:H29"/>
    <mergeCell ref="F30:H30"/>
    <mergeCell ref="F35:H35"/>
    <mergeCell ref="F36:H36"/>
    <mergeCell ref="F47:G47"/>
    <mergeCell ref="F48:G48"/>
    <mergeCell ref="F49:G49"/>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D8EE7B0-F923-4A5F-BB97-745C28336E15}">
          <x14:formula1>
            <xm:f>'1. ENC - Home Dataset (backup)'!$B$3:$B$499</xm:f>
          </x14:formula1>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BF141-F893-47A9-B4B8-7DA0CFF65B00}">
  <dimension ref="B2:Z10"/>
  <sheetViews>
    <sheetView topLeftCell="B1" zoomScaleNormal="100" workbookViewId="0">
      <selection activeCell="P16" sqref="P16"/>
    </sheetView>
  </sheetViews>
  <sheetFormatPr defaultRowHeight="14.25" x14ac:dyDescent="0.45"/>
  <cols>
    <col min="1" max="1" width="10.19921875" customWidth="1"/>
    <col min="2" max="3" width="12.59765625" bestFit="1" customWidth="1"/>
    <col min="4" max="11" width="10.19921875" bestFit="1" customWidth="1"/>
    <col min="12" max="13" width="9.19921875" bestFit="1" customWidth="1"/>
    <col min="14" max="15" width="10.19921875" bestFit="1" customWidth="1"/>
    <col min="18" max="18" width="12.59765625" bestFit="1" customWidth="1"/>
    <col min="19" max="26" width="10.19921875" bestFit="1" customWidth="1"/>
  </cols>
  <sheetData>
    <row r="2" spans="2:26" ht="14.65" thickBot="1" x14ac:dyDescent="0.5"/>
    <row r="3" spans="2:26" x14ac:dyDescent="0.45">
      <c r="B3" s="205"/>
      <c r="C3" s="87"/>
      <c r="D3" s="206" t="s">
        <v>617</v>
      </c>
      <c r="E3" s="206"/>
      <c r="F3" s="206"/>
      <c r="G3" s="206"/>
      <c r="H3" s="206"/>
      <c r="I3" s="206"/>
      <c r="J3" s="206"/>
      <c r="K3" s="206"/>
      <c r="L3" s="206"/>
      <c r="M3" s="206"/>
      <c r="N3" s="206"/>
      <c r="O3" s="207"/>
      <c r="Q3" s="205"/>
      <c r="R3" s="87"/>
      <c r="S3" s="213" t="s">
        <v>619</v>
      </c>
      <c r="T3" s="213"/>
      <c r="U3" s="213"/>
      <c r="V3" s="213"/>
      <c r="W3" s="213"/>
      <c r="X3" s="213"/>
      <c r="Y3" s="213"/>
      <c r="Z3" s="214"/>
    </row>
    <row r="4" spans="2:26" x14ac:dyDescent="0.45">
      <c r="B4" s="208"/>
      <c r="C4" s="195"/>
      <c r="D4" s="182" t="s">
        <v>613</v>
      </c>
      <c r="E4" s="182"/>
      <c r="F4" s="182"/>
      <c r="G4" s="182"/>
      <c r="H4" s="182"/>
      <c r="I4" s="182"/>
      <c r="J4" s="182"/>
      <c r="K4" s="182"/>
      <c r="L4" s="182"/>
      <c r="M4" s="182"/>
      <c r="N4" s="182"/>
      <c r="O4" s="183"/>
      <c r="Q4" s="208"/>
      <c r="R4" s="195"/>
      <c r="S4" s="215" t="s">
        <v>579</v>
      </c>
      <c r="T4" s="215"/>
      <c r="U4" s="215"/>
      <c r="V4" s="215"/>
      <c r="W4" s="215"/>
      <c r="X4" s="215"/>
      <c r="Y4" s="215"/>
      <c r="Z4" s="216"/>
    </row>
    <row r="5" spans="2:26" x14ac:dyDescent="0.45">
      <c r="B5" s="208"/>
      <c r="C5" s="195"/>
      <c r="D5" s="209" t="s">
        <v>66</v>
      </c>
      <c r="E5" s="209" t="s">
        <v>67</v>
      </c>
      <c r="F5" s="209" t="s">
        <v>607</v>
      </c>
      <c r="G5" s="209" t="s">
        <v>608</v>
      </c>
      <c r="H5" s="209" t="s">
        <v>70</v>
      </c>
      <c r="I5" s="209" t="s">
        <v>609</v>
      </c>
      <c r="J5" s="209" t="s">
        <v>610</v>
      </c>
      <c r="K5" s="209" t="s">
        <v>611</v>
      </c>
      <c r="L5" s="209" t="s">
        <v>612</v>
      </c>
      <c r="M5" s="209" t="s">
        <v>75</v>
      </c>
      <c r="N5" s="209" t="s">
        <v>76</v>
      </c>
      <c r="O5" s="210" t="s">
        <v>77</v>
      </c>
      <c r="Q5" s="208"/>
      <c r="R5" s="195"/>
      <c r="S5" s="217">
        <v>2018</v>
      </c>
      <c r="T5" s="217">
        <v>2019</v>
      </c>
      <c r="U5" s="217">
        <v>2020</v>
      </c>
      <c r="V5" s="217">
        <v>2021</v>
      </c>
      <c r="W5" s="217">
        <v>2022</v>
      </c>
      <c r="X5" s="217">
        <v>2023</v>
      </c>
      <c r="Y5" s="217">
        <v>2024</v>
      </c>
      <c r="Z5" s="218">
        <v>2025</v>
      </c>
    </row>
    <row r="6" spans="2:26" x14ac:dyDescent="0.45">
      <c r="B6" s="211" t="s">
        <v>580</v>
      </c>
      <c r="C6" s="199" t="s">
        <v>10</v>
      </c>
      <c r="D6" s="232" cm="1">
        <f t="array" ref="D6">SUM(total_claim_payment*(claim_type=$C6)*(accident_month=MATCH(D$5,$D$5:$O$5,0)))</f>
        <v>27503.54</v>
      </c>
      <c r="E6" s="232" cm="1">
        <f t="array" ref="E6">SUM(total_claim_payment*(claim_type=$C6)*(accident_month=MATCH(E$5,$D$5:$O$5,0)))</f>
        <v>79905.469999999987</v>
      </c>
      <c r="F6" s="232" cm="1">
        <f t="array" ref="F6">SUM(total_claim_payment*(claim_type=$C6)*(accident_month=MATCH(F$5,$D$5:$O$5,0)))</f>
        <v>28111.61</v>
      </c>
      <c r="G6" s="232" cm="1">
        <f t="array" ref="G6">SUM(total_claim_payment*(claim_type=$C6)*(accident_month=MATCH(G$5,$D$5:$O$5,0)))</f>
        <v>45015.39</v>
      </c>
      <c r="H6" s="232" cm="1">
        <f t="array" ref="H6">SUM(total_claim_payment*(claim_type=$C6)*(accident_month=MATCH(H$5,$D$5:$O$5,0)))</f>
        <v>121873.24000000002</v>
      </c>
      <c r="I6" s="232" cm="1">
        <f t="array" ref="I6">SUM(total_claim_payment*(claim_type=$C6)*(accident_month=MATCH(I$5,$D$5:$O$5,0)))</f>
        <v>67014.600000000006</v>
      </c>
      <c r="J6" s="232" cm="1">
        <f t="array" ref="J6">SUM(total_claim_payment*(claim_type=$C6)*(accident_month=MATCH(J$5,$D$5:$O$5,0)))</f>
        <v>104719.92</v>
      </c>
      <c r="K6" s="232" cm="1">
        <f t="array" ref="K6">SUM(total_claim_payment*(claim_type=$C6)*(accident_month=MATCH(K$5,$D$5:$O$5,0)))</f>
        <v>52289.680000000008</v>
      </c>
      <c r="L6" s="232" cm="1">
        <f t="array" ref="L6">SUM(total_claim_payment*(claim_type=$C6)*(accident_month=MATCH(L$5,$D$5:$O$5,0)))</f>
        <v>87782.56</v>
      </c>
      <c r="M6" s="232" cm="1">
        <f t="array" ref="M6">SUM(total_claim_payment*(claim_type=$C6)*(accident_month=MATCH(M$5,$D$5:$O$5,0)))</f>
        <v>62080.81</v>
      </c>
      <c r="N6" s="232" cm="1">
        <f t="array" ref="N6">SUM(total_claim_payment*(claim_type=$C6)*(accident_month=MATCH(N$5,$D$5:$O$5,0)))</f>
        <v>87180.66</v>
      </c>
      <c r="O6" s="232" cm="1">
        <f t="array" ref="O6">SUM(total_claim_payment*(claim_type=$C6)*(accident_month=MATCH(O$5,$D$5:$O$5,0)))</f>
        <v>46358.02</v>
      </c>
      <c r="Q6" s="211" t="s">
        <v>580</v>
      </c>
      <c r="R6" s="199" t="s">
        <v>10</v>
      </c>
      <c r="S6" s="232" cm="1">
        <f t="array" ref="S6">SUM(yearly_total_payments*(claim_type=$R6)*('1. ENC - Home Dataset'!$CX$2:$DE$2=S$5))</f>
        <v>74864.420000000013</v>
      </c>
      <c r="T6" s="232" cm="1">
        <f t="array" ref="T6">SUM(yearly_total_payments*(claim_type=$R6)*('1. ENC - Home Dataset'!$CX$2:$DE$2=T$5))</f>
        <v>57454.180000000008</v>
      </c>
      <c r="U6" s="232" cm="1">
        <f t="array" ref="U6">SUM(yearly_total_payments*(claim_type=$R6)*('1. ENC - Home Dataset'!$CX$2:$DE$2=U$5))</f>
        <v>80927.48</v>
      </c>
      <c r="V6" s="232" cm="1">
        <f t="array" ref="V6">SUM(yearly_total_payments*(claim_type=$R6)*('1. ENC - Home Dataset'!$CX$2:$DE$2=V$5))</f>
        <v>40675.490000000005</v>
      </c>
      <c r="W6" s="232" cm="1">
        <f t="array" ref="W6">SUM(yearly_total_payments*(claim_type=$R6)*('1. ENC - Home Dataset'!$CX$2:$DE$2=W$5))</f>
        <v>138011.97</v>
      </c>
      <c r="X6" s="232" cm="1">
        <f t="array" ref="X6">SUM(yearly_total_payments*(claim_type=$R6)*('1. ENC - Home Dataset'!$CX$2:$DE$2=X$5))</f>
        <v>164138.31999999998</v>
      </c>
      <c r="Y6" s="232" cm="1">
        <f t="array" ref="Y6">SUM(yearly_total_payments*(claim_type=$R6)*('1. ENC - Home Dataset'!$CX$2:$DE$2=Y$5))</f>
        <v>186015.12</v>
      </c>
      <c r="Z6" s="233" cm="1">
        <f t="array" ref="Z6">SUM(yearly_total_payments*(claim_type=$R6)*('1. ENC - Home Dataset'!$CX$2:$DE$2=Z$5))</f>
        <v>67748.52</v>
      </c>
    </row>
    <row r="7" spans="2:26" x14ac:dyDescent="0.45">
      <c r="B7" s="211"/>
      <c r="C7" s="199" t="s">
        <v>13</v>
      </c>
      <c r="D7" s="232" cm="1">
        <f t="array" ref="D7">SUM(total_claim_payment*(claim_type=$C7)*(accident_month=MATCH(D$5,$D$5:$O$5,0)))</f>
        <v>133660.84000000003</v>
      </c>
      <c r="E7" s="232" cm="1">
        <f t="array" ref="E7">SUM(total_claim_payment*(claim_type=$C7)*(accident_month=MATCH(E$5,$D$5:$O$5,0)))</f>
        <v>52040.890000000007</v>
      </c>
      <c r="F7" s="232" cm="1">
        <f t="array" ref="F7">SUM(total_claim_payment*(claim_type=$C7)*(accident_month=MATCH(F$5,$D$5:$O$5,0)))</f>
        <v>74764.77</v>
      </c>
      <c r="G7" s="232" cm="1">
        <f t="array" ref="G7">SUM(total_claim_payment*(claim_type=$C7)*(accident_month=MATCH(G$5,$D$5:$O$5,0)))</f>
        <v>66308.25</v>
      </c>
      <c r="H7" s="232" cm="1">
        <f t="array" ref="H7">SUM(total_claim_payment*(claim_type=$C7)*(accident_month=MATCH(H$5,$D$5:$O$5,0)))</f>
        <v>54028.160000000003</v>
      </c>
      <c r="I7" s="232" cm="1">
        <f t="array" ref="I7">SUM(total_claim_payment*(claim_type=$C7)*(accident_month=MATCH(I$5,$D$5:$O$5,0)))</f>
        <v>92933.62999999999</v>
      </c>
      <c r="J7" s="232" cm="1">
        <f t="array" ref="J7">SUM(total_claim_payment*(claim_type=$C7)*(accident_month=MATCH(J$5,$D$5:$O$5,0)))</f>
        <v>53411.35</v>
      </c>
      <c r="K7" s="232" cm="1">
        <f t="array" ref="K7">SUM(total_claim_payment*(claim_type=$C7)*(accident_month=MATCH(K$5,$D$5:$O$5,0)))</f>
        <v>48423.930000000008</v>
      </c>
      <c r="L7" s="232" cm="1">
        <f t="array" ref="L7">SUM(total_claim_payment*(claim_type=$C7)*(accident_month=MATCH(L$5,$D$5:$O$5,0)))</f>
        <v>73416.87</v>
      </c>
      <c r="M7" s="232" cm="1">
        <f t="array" ref="M7">SUM(total_claim_payment*(claim_type=$C7)*(accident_month=MATCH(M$5,$D$5:$O$5,0)))</f>
        <v>80528.509999999995</v>
      </c>
      <c r="N7" s="232" cm="1">
        <f t="array" ref="N7">SUM(total_claim_payment*(claim_type=$C7)*(accident_month=MATCH(N$5,$D$5:$O$5,0)))</f>
        <v>84780.96</v>
      </c>
      <c r="O7" s="232" cm="1">
        <f t="array" ref="O7">SUM(total_claim_payment*(claim_type=$C7)*(accident_month=MATCH(O$5,$D$5:$O$5,0)))</f>
        <v>96490.239999999991</v>
      </c>
      <c r="Q7" s="211"/>
      <c r="R7" s="199" t="s">
        <v>13</v>
      </c>
      <c r="S7" s="232" cm="1">
        <f t="array" ref="S7">SUM(yearly_total_payments*(claim_type=$R7)*('1. ENC - Home Dataset'!$CX$2:$DE$2=S$5))</f>
        <v>18750.690000000002</v>
      </c>
      <c r="T7" s="232" cm="1">
        <f t="array" ref="T7">SUM(yearly_total_payments*(claim_type=$R7)*('1. ENC - Home Dataset'!$CX$2:$DE$2=T$5))</f>
        <v>78544.89</v>
      </c>
      <c r="U7" s="232" cm="1">
        <f t="array" ref="U7">SUM(yearly_total_payments*(claim_type=$R7)*('1. ENC - Home Dataset'!$CX$2:$DE$2=U$5))</f>
        <v>98772.830000000016</v>
      </c>
      <c r="V7" s="232" cm="1">
        <f t="array" ref="V7">SUM(yearly_total_payments*(claim_type=$R7)*('1. ENC - Home Dataset'!$CX$2:$DE$2=V$5))</f>
        <v>96308.279999999984</v>
      </c>
      <c r="W7" s="232" cm="1">
        <f t="array" ref="W7">SUM(yearly_total_payments*(claim_type=$R7)*('1. ENC - Home Dataset'!$CX$2:$DE$2=W$5))</f>
        <v>131558.31</v>
      </c>
      <c r="X7" s="232" cm="1">
        <f t="array" ref="X7">SUM(yearly_total_payments*(claim_type=$R7)*('1. ENC - Home Dataset'!$CX$2:$DE$2=X$5))</f>
        <v>163232.00999999995</v>
      </c>
      <c r="Y7" s="232" cm="1">
        <f t="array" ref="Y7">SUM(yearly_total_payments*(claim_type=$R7)*('1. ENC - Home Dataset'!$CX$2:$DE$2=Y$5))</f>
        <v>165729.06000000003</v>
      </c>
      <c r="Z7" s="233" cm="1">
        <f t="array" ref="Z7">SUM(yearly_total_payments*(claim_type=$R7)*('1. ENC - Home Dataset'!$CX$2:$DE$2=Z$5))</f>
        <v>157892.33000000005</v>
      </c>
    </row>
    <row r="8" spans="2:26" x14ac:dyDescent="0.45">
      <c r="B8" s="211"/>
      <c r="C8" s="199" t="s">
        <v>19</v>
      </c>
      <c r="D8" s="232" cm="1">
        <f t="array" ref="D8">SUM(total_claim_payment*(claim_type=$C8)*(accident_month=MATCH(D$5,$D$5:$O$5,0)))</f>
        <v>167421.15999999997</v>
      </c>
      <c r="E8" s="232" cm="1">
        <f t="array" ref="E8">SUM(total_claim_payment*(claim_type=$C8)*(accident_month=MATCH(E$5,$D$5:$O$5,0)))</f>
        <v>273559.63000000006</v>
      </c>
      <c r="F8" s="232" cm="1">
        <f t="array" ref="F8">SUM(total_claim_payment*(claim_type=$C8)*(accident_month=MATCH(F$5,$D$5:$O$5,0)))</f>
        <v>141926.70000000001</v>
      </c>
      <c r="G8" s="232" cm="1">
        <f t="array" ref="G8">SUM(total_claim_payment*(claim_type=$C8)*(accident_month=MATCH(G$5,$D$5:$O$5,0)))</f>
        <v>110992.12000000001</v>
      </c>
      <c r="H8" s="232" cm="1">
        <f t="array" ref="H8">SUM(total_claim_payment*(claim_type=$C8)*(accident_month=MATCH(H$5,$D$5:$O$5,0)))</f>
        <v>92465.48000000001</v>
      </c>
      <c r="I8" s="232" cm="1">
        <f t="array" ref="I8">SUM(total_claim_payment*(claim_type=$C8)*(accident_month=MATCH(I$5,$D$5:$O$5,0)))</f>
        <v>188128.6</v>
      </c>
      <c r="J8" s="232" cm="1">
        <f t="array" ref="J8">SUM(total_claim_payment*(claim_type=$C8)*(accident_month=MATCH(J$5,$D$5:$O$5,0)))</f>
        <v>421248.74999999994</v>
      </c>
      <c r="K8" s="232" cm="1">
        <f t="array" ref="K8">SUM(total_claim_payment*(claim_type=$C8)*(accident_month=MATCH(K$5,$D$5:$O$5,0)))</f>
        <v>537401.46000000008</v>
      </c>
      <c r="L8" s="232" cm="1">
        <f t="array" ref="L8">SUM(total_claim_payment*(claim_type=$C8)*(accident_month=MATCH(L$5,$D$5:$O$5,0)))</f>
        <v>74939.100000000006</v>
      </c>
      <c r="M8" s="232" cm="1">
        <f t="array" ref="M8">SUM(total_claim_payment*(claim_type=$C8)*(accident_month=MATCH(M$5,$D$5:$O$5,0)))</f>
        <v>52802.049999999996</v>
      </c>
      <c r="N8" s="232" cm="1">
        <f t="array" ref="N8">SUM(total_claim_payment*(claim_type=$C8)*(accident_month=MATCH(N$5,$D$5:$O$5,0)))</f>
        <v>246078.55999999997</v>
      </c>
      <c r="O8" s="232" cm="1">
        <f t="array" ref="O8">SUM(total_claim_payment*(claim_type=$C8)*(accident_month=MATCH(O$5,$D$5:$O$5,0)))</f>
        <v>211300.50999999995</v>
      </c>
      <c r="Q8" s="211"/>
      <c r="R8" s="199" t="s">
        <v>19</v>
      </c>
      <c r="S8" s="232" cm="1">
        <f t="array" ref="S8">SUM(yearly_total_payments*(claim_type=$R8)*('1. ENC - Home Dataset'!$CX$2:$DE$2=S$5))</f>
        <v>105634.59000000001</v>
      </c>
      <c r="T8" s="232" cm="1">
        <f t="array" ref="T8">SUM(yearly_total_payments*(claim_type=$R8)*('1. ENC - Home Dataset'!$CX$2:$DE$2=T$5))</f>
        <v>145486.10999999996</v>
      </c>
      <c r="U8" s="232" cm="1">
        <f t="array" ref="U8">SUM(yearly_total_payments*(claim_type=$R8)*('1. ENC - Home Dataset'!$CX$2:$DE$2=U$5))</f>
        <v>281506.81999999995</v>
      </c>
      <c r="V8" s="232" cm="1">
        <f t="array" ref="V8">SUM(yearly_total_payments*(claim_type=$R8)*('1. ENC - Home Dataset'!$CX$2:$DE$2=V$5))</f>
        <v>297635.28999999992</v>
      </c>
      <c r="W8" s="232" cm="1">
        <f t="array" ref="W8">SUM(yearly_total_payments*(claim_type=$R8)*('1. ENC - Home Dataset'!$CX$2:$DE$2=W$5))</f>
        <v>326636</v>
      </c>
      <c r="X8" s="232" cm="1">
        <f t="array" ref="X8">SUM(yearly_total_payments*(claim_type=$R8)*('1. ENC - Home Dataset'!$CX$2:$DE$2=X$5))</f>
        <v>456897.4800000001</v>
      </c>
      <c r="Y8" s="232" cm="1">
        <f t="array" ref="Y8">SUM(yearly_total_payments*(claim_type=$R8)*('1. ENC - Home Dataset'!$CX$2:$DE$2=Y$5))</f>
        <v>693623.30999999982</v>
      </c>
      <c r="Z8" s="233" cm="1">
        <f t="array" ref="Z8">SUM(yearly_total_payments*(claim_type=$R8)*('1. ENC - Home Dataset'!$CX$2:$DE$2=Z$5))</f>
        <v>210844.52</v>
      </c>
    </row>
    <row r="9" spans="2:26" x14ac:dyDescent="0.45">
      <c r="B9" s="211"/>
      <c r="C9" s="199" t="s">
        <v>16</v>
      </c>
      <c r="D9" s="232" cm="1">
        <f t="array" ref="D9">SUM(total_claim_payment*(claim_type=$C9)*(accident_month=MATCH(D$5,$D$5:$O$5,0)))</f>
        <v>80043.01999999999</v>
      </c>
      <c r="E9" s="232" cm="1">
        <f t="array" ref="E9">SUM(total_claim_payment*(claim_type=$C9)*(accident_month=MATCH(E$5,$D$5:$O$5,0)))</f>
        <v>10756.92</v>
      </c>
      <c r="F9" s="232" cm="1">
        <f t="array" ref="F9">SUM(total_claim_payment*(claim_type=$C9)*(accident_month=MATCH(F$5,$D$5:$O$5,0)))</f>
        <v>39631.839999999997</v>
      </c>
      <c r="G9" s="232" cm="1">
        <f t="array" ref="G9">SUM(total_claim_payment*(claim_type=$C9)*(accident_month=MATCH(G$5,$D$5:$O$5,0)))</f>
        <v>25195.1</v>
      </c>
      <c r="H9" s="232" cm="1">
        <f t="array" ref="H9">SUM(total_claim_payment*(claim_type=$C9)*(accident_month=MATCH(H$5,$D$5:$O$5,0)))</f>
        <v>36607.589999999997</v>
      </c>
      <c r="I9" s="232" cm="1">
        <f t="array" ref="I9">SUM(total_claim_payment*(claim_type=$C9)*(accident_month=MATCH(I$5,$D$5:$O$5,0)))</f>
        <v>3589.67</v>
      </c>
      <c r="J9" s="232" cm="1">
        <f t="array" ref="J9">SUM(total_claim_payment*(claim_type=$C9)*(accident_month=MATCH(J$5,$D$5:$O$5,0)))</f>
        <v>18638.16</v>
      </c>
      <c r="K9" s="232" cm="1">
        <f t="array" ref="K9">SUM(total_claim_payment*(claim_type=$C9)*(accident_month=MATCH(K$5,$D$5:$O$5,0)))</f>
        <v>94501.62000000001</v>
      </c>
      <c r="L9" s="232" cm="1">
        <f t="array" ref="L9">SUM(total_claim_payment*(claim_type=$C9)*(accident_month=MATCH(L$5,$D$5:$O$5,0)))</f>
        <v>23040.79</v>
      </c>
      <c r="M9" s="232" cm="1">
        <f t="array" ref="M9">SUM(total_claim_payment*(claim_type=$C9)*(accident_month=MATCH(M$5,$D$5:$O$5,0)))</f>
        <v>42534.91</v>
      </c>
      <c r="N9" s="232" cm="1">
        <f t="array" ref="N9">SUM(total_claim_payment*(claim_type=$C9)*(accident_month=MATCH(N$5,$D$5:$O$5,0)))</f>
        <v>37045.729999999996</v>
      </c>
      <c r="O9" s="232" cm="1">
        <f t="array" ref="O9">SUM(total_claim_payment*(claim_type=$C9)*(accident_month=MATCH(O$5,$D$5:$O$5,0)))</f>
        <v>9254.9599999999991</v>
      </c>
      <c r="Q9" s="211"/>
      <c r="R9" s="199" t="s">
        <v>16</v>
      </c>
      <c r="S9" s="232" cm="1">
        <f t="array" ref="S9">SUM(yearly_total_payments*(claim_type=$R9)*('1. ENC - Home Dataset'!$CX$2:$DE$2=S$5))</f>
        <v>4178.5300000000007</v>
      </c>
      <c r="T9" s="232" cm="1">
        <f t="array" ref="T9">SUM(yearly_total_payments*(claim_type=$R9)*('1. ENC - Home Dataset'!$CX$2:$DE$2=T$5))</f>
        <v>24581.019999999997</v>
      </c>
      <c r="U9" s="232" cm="1">
        <f t="array" ref="U9">SUM(yearly_total_payments*(claim_type=$R9)*('1. ENC - Home Dataset'!$CX$2:$DE$2=U$5))</f>
        <v>22428.05</v>
      </c>
      <c r="V9" s="232" cm="1">
        <f t="array" ref="V9">SUM(yearly_total_payments*(claim_type=$R9)*('1. ENC - Home Dataset'!$CX$2:$DE$2=V$5))</f>
        <v>34026.54</v>
      </c>
      <c r="W9" s="232" cm="1">
        <f t="array" ref="W9">SUM(yearly_total_payments*(claim_type=$R9)*('1. ENC - Home Dataset'!$CX$2:$DE$2=W$5))</f>
        <v>102506.27999999998</v>
      </c>
      <c r="X9" s="232" cm="1">
        <f t="array" ref="X9">SUM(yearly_total_payments*(claim_type=$R9)*('1. ENC - Home Dataset'!$CX$2:$DE$2=X$5))</f>
        <v>56440.55999999999</v>
      </c>
      <c r="Y9" s="232" cm="1">
        <f t="array" ref="Y9">SUM(yearly_total_payments*(claim_type=$R9)*('1. ENC - Home Dataset'!$CX$2:$DE$2=Y$5))</f>
        <v>134848.86000000002</v>
      </c>
      <c r="Z9" s="233" cm="1">
        <f t="array" ref="Z9">SUM(yearly_total_payments*(claim_type=$R9)*('1. ENC - Home Dataset'!$CX$2:$DE$2=Z$5))</f>
        <v>41830.47</v>
      </c>
    </row>
    <row r="10" spans="2:26" ht="14.65" thickBot="1" x14ac:dyDescent="0.5">
      <c r="B10" s="212"/>
      <c r="C10" s="106" t="s">
        <v>7</v>
      </c>
      <c r="D10" s="232" cm="1">
        <f t="array" ref="D10">SUM(total_claim_payment*(claim_type=$C10)*(accident_month=MATCH(D$5,$D$5:$O$5,0)))</f>
        <v>25509.46</v>
      </c>
      <c r="E10" s="232" cm="1">
        <f t="array" ref="E10">SUM(total_claim_payment*(claim_type=$C10)*(accident_month=MATCH(E$5,$D$5:$O$5,0)))</f>
        <v>11366.95</v>
      </c>
      <c r="F10" s="232" cm="1">
        <f t="array" ref="F10">SUM(total_claim_payment*(claim_type=$C10)*(accident_month=MATCH(F$5,$D$5:$O$5,0)))</f>
        <v>14602.76</v>
      </c>
      <c r="G10" s="232" cm="1">
        <f t="array" ref="G10">SUM(total_claim_payment*(claim_type=$C10)*(accident_month=MATCH(G$5,$D$5:$O$5,0)))</f>
        <v>18130.87</v>
      </c>
      <c r="H10" s="232" cm="1">
        <f t="array" ref="H10">SUM(total_claim_payment*(claim_type=$C10)*(accident_month=MATCH(H$5,$D$5:$O$5,0)))</f>
        <v>19341.78</v>
      </c>
      <c r="I10" s="232" cm="1">
        <f t="array" ref="I10">SUM(total_claim_payment*(claim_type=$C10)*(accident_month=MATCH(I$5,$D$5:$O$5,0)))</f>
        <v>29435.160000000003</v>
      </c>
      <c r="J10" s="232" cm="1">
        <f t="array" ref="J10">SUM(total_claim_payment*(claim_type=$C10)*(accident_month=MATCH(J$5,$D$5:$O$5,0)))</f>
        <v>8925.9599999999991</v>
      </c>
      <c r="K10" s="232" cm="1">
        <f t="array" ref="K10">SUM(total_claim_payment*(claim_type=$C10)*(accident_month=MATCH(K$5,$D$5:$O$5,0)))</f>
        <v>27978.42</v>
      </c>
      <c r="L10" s="232" cm="1">
        <f t="array" ref="L10">SUM(total_claim_payment*(claim_type=$C10)*(accident_month=MATCH(L$5,$D$5:$O$5,0)))</f>
        <v>27660.6</v>
      </c>
      <c r="M10" s="232" cm="1">
        <f t="array" ref="M10">SUM(total_claim_payment*(claim_type=$C10)*(accident_month=MATCH(M$5,$D$5:$O$5,0)))</f>
        <v>22333.52</v>
      </c>
      <c r="N10" s="232" cm="1">
        <f t="array" ref="N10">SUM(total_claim_payment*(claim_type=$C10)*(accident_month=MATCH(N$5,$D$5:$O$5,0)))</f>
        <v>35130.54</v>
      </c>
      <c r="O10" s="232" cm="1">
        <f t="array" ref="O10">SUM(total_claim_payment*(claim_type=$C10)*(accident_month=MATCH(O$5,$D$5:$O$5,0)))</f>
        <v>25417.78</v>
      </c>
      <c r="Q10" s="212"/>
      <c r="R10" s="106" t="s">
        <v>7</v>
      </c>
      <c r="S10" s="99" cm="1">
        <f t="array" ref="S10">SUM(yearly_total_payments*(claim_type=$R10)*('1. ENC - Home Dataset'!$CX$2:$DE$2=S$5))</f>
        <v>23391.829999999998</v>
      </c>
      <c r="T10" s="99" cm="1">
        <f t="array" ref="T10">SUM(yearly_total_payments*(claim_type=$R10)*('1. ENC - Home Dataset'!$CX$2:$DE$2=T$5))</f>
        <v>37748.410000000003</v>
      </c>
      <c r="U10" s="99" cm="1">
        <f t="array" ref="U10">SUM(yearly_total_payments*(claim_type=$R10)*('1. ENC - Home Dataset'!$CX$2:$DE$2=U$5))</f>
        <v>19093.729999999996</v>
      </c>
      <c r="V10" s="99" cm="1">
        <f t="array" ref="V10">SUM(yearly_total_payments*(claim_type=$R10)*('1. ENC - Home Dataset'!$CX$2:$DE$2=V$5))</f>
        <v>19859.899999999998</v>
      </c>
      <c r="W10" s="99" cm="1">
        <f t="array" ref="W10">SUM(yearly_total_payments*(claim_type=$R10)*('1. ENC - Home Dataset'!$CX$2:$DE$2=W$5))</f>
        <v>58236.970000000008</v>
      </c>
      <c r="X10" s="99" cm="1">
        <f t="array" ref="X10">SUM(yearly_total_payments*(claim_type=$R10)*('1. ENC - Home Dataset'!$CX$2:$DE$2=X$5))</f>
        <v>45664.080000000009</v>
      </c>
      <c r="Y10" s="99" cm="1">
        <f t="array" ref="Y10">SUM(yearly_total_payments*(claim_type=$R10)*('1. ENC - Home Dataset'!$CX$2:$DE$2=Y$5))</f>
        <v>42025.69</v>
      </c>
      <c r="Z10" s="234" cm="1">
        <f t="array" ref="Z10">SUM(yearly_total_payments*(claim_type=$R10)*('1. ENC - Home Dataset'!$CX$2:$DE$2=Z$5))</f>
        <v>19813.189999999999</v>
      </c>
    </row>
  </sheetData>
  <mergeCells count="6">
    <mergeCell ref="D3:O3"/>
    <mergeCell ref="S3:Z3"/>
    <mergeCell ref="D4:O4"/>
    <mergeCell ref="S4:Z4"/>
    <mergeCell ref="B6:B10"/>
    <mergeCell ref="Q6:Q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7A0A2-160C-45F2-9A77-F6B6A15F2E9E}">
  <dimension ref="B2:L15"/>
  <sheetViews>
    <sheetView tabSelected="1" workbookViewId="0">
      <selection activeCell="G17" sqref="G17"/>
    </sheetView>
  </sheetViews>
  <sheetFormatPr defaultRowHeight="14.25" x14ac:dyDescent="0.45"/>
  <cols>
    <col min="3" max="3" width="13.59765625" customWidth="1"/>
    <col min="4" max="4" width="22.06640625" bestFit="1" customWidth="1"/>
    <col min="7" max="7" width="28.06640625" bestFit="1" customWidth="1"/>
    <col min="9" max="9" width="12.59765625" bestFit="1" customWidth="1"/>
  </cols>
  <sheetData>
    <row r="2" spans="2:12" x14ac:dyDescent="0.45">
      <c r="B2" s="145" t="s">
        <v>614</v>
      </c>
      <c r="C2" s="145"/>
    </row>
    <row r="4" spans="2:12" x14ac:dyDescent="0.45">
      <c r="D4" s="225" t="s">
        <v>615</v>
      </c>
      <c r="H4" t="s">
        <v>10</v>
      </c>
      <c r="I4" t="s">
        <v>13</v>
      </c>
      <c r="J4" t="s">
        <v>19</v>
      </c>
      <c r="K4" t="s">
        <v>16</v>
      </c>
      <c r="L4" t="s">
        <v>7</v>
      </c>
    </row>
    <row r="5" spans="2:12" x14ac:dyDescent="0.45">
      <c r="B5" s="219" t="s">
        <v>597</v>
      </c>
      <c r="C5" s="220" t="s">
        <v>10</v>
      </c>
      <c r="D5" s="227">
        <v>0.81</v>
      </c>
    </row>
    <row r="6" spans="2:12" x14ac:dyDescent="0.45">
      <c r="B6" s="221"/>
      <c r="C6" s="222" t="s">
        <v>13</v>
      </c>
      <c r="D6" s="227">
        <v>0.87</v>
      </c>
    </row>
    <row r="7" spans="2:12" x14ac:dyDescent="0.45">
      <c r="B7" s="221"/>
      <c r="C7" s="222" t="s">
        <v>19</v>
      </c>
      <c r="D7" s="227">
        <v>0.72</v>
      </c>
    </row>
    <row r="8" spans="2:12" x14ac:dyDescent="0.45">
      <c r="B8" s="221"/>
      <c r="C8" s="222" t="s">
        <v>16</v>
      </c>
      <c r="D8" s="227">
        <v>0.67</v>
      </c>
    </row>
    <row r="9" spans="2:12" x14ac:dyDescent="0.45">
      <c r="B9" s="223"/>
      <c r="C9" s="224" t="s">
        <v>7</v>
      </c>
      <c r="D9" s="228">
        <v>0.81</v>
      </c>
    </row>
    <row r="11" spans="2:12" x14ac:dyDescent="0.45">
      <c r="B11" s="229" t="s">
        <v>616</v>
      </c>
      <c r="C11" s="230"/>
      <c r="D11" s="231">
        <v>0.05</v>
      </c>
    </row>
    <row r="15" spans="2:12" x14ac:dyDescent="0.45">
      <c r="C15" t="s">
        <v>620</v>
      </c>
    </row>
  </sheetData>
  <mergeCells count="3">
    <mergeCell ref="B2:C2"/>
    <mergeCell ref="B5:B9"/>
    <mergeCell ref="B11:C11"/>
  </mergeCells>
  <dataValidations count="2">
    <dataValidation type="decimal" allowBlank="1" showInputMessage="1" showErrorMessage="1" prompt="Input a percentage or a number between 0 and 1." sqref="D5:D9" xr:uid="{EA5E30BF-59B5-4483-AE3B-6505D33B6F47}">
      <formula1>0</formula1>
      <formula2>1</formula2>
    </dataValidation>
    <dataValidation type="decimal" allowBlank="1" showInputMessage="1" showErrorMessage="1" prompt="Input a percentage or a number between 0 and 1." sqref="D11" xr:uid="{F1B8C206-2776-46A8-AB9A-6366DFBEA530}">
      <formula1>0</formula1>
      <formula2>1</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80497-6219-4244-BE57-D108AE2F5F45}">
  <sheetPr codeName="Sheet1"/>
  <dimension ref="A1:CW499"/>
  <sheetViews>
    <sheetView zoomScaleNormal="100" workbookViewId="0">
      <pane xSplit="5" ySplit="2" topLeftCell="CV473" activePane="bottomRight" state="frozen"/>
      <selection pane="topRight" activeCell="F1" sqref="F1"/>
      <selection pane="bottomLeft" activeCell="A3" sqref="A3"/>
      <selection pane="bottomRight" sqref="A1:A2"/>
    </sheetView>
  </sheetViews>
  <sheetFormatPr defaultColWidth="8.6640625" defaultRowHeight="14.25" x14ac:dyDescent="0.45"/>
  <cols>
    <col min="1" max="1" width="10" customWidth="1"/>
    <col min="2" max="2" width="14" customWidth="1"/>
    <col min="3" max="4" width="9" customWidth="1"/>
    <col min="5" max="5" width="13" customWidth="1"/>
    <col min="6" max="101" width="9" customWidth="1"/>
  </cols>
  <sheetData>
    <row r="1" spans="1:101" ht="21.75" customHeight="1" x14ac:dyDescent="0.45">
      <c r="A1" s="149" t="s">
        <v>54</v>
      </c>
      <c r="B1" s="149" t="s">
        <v>2</v>
      </c>
      <c r="C1" s="149" t="s">
        <v>55</v>
      </c>
      <c r="D1" s="149" t="s">
        <v>56</v>
      </c>
      <c r="E1" s="149" t="s">
        <v>57</v>
      </c>
      <c r="F1" s="148" t="s">
        <v>58</v>
      </c>
      <c r="G1" s="148"/>
      <c r="H1" s="148"/>
      <c r="I1" s="148"/>
      <c r="J1" s="148"/>
      <c r="K1" s="148"/>
      <c r="L1" s="148"/>
      <c r="M1" s="148"/>
      <c r="N1" s="148"/>
      <c r="O1" s="148"/>
      <c r="P1" s="148"/>
      <c r="Q1" s="148"/>
      <c r="R1" s="151" t="s">
        <v>59</v>
      </c>
      <c r="S1" s="151"/>
      <c r="T1" s="151"/>
      <c r="U1" s="151"/>
      <c r="V1" s="151"/>
      <c r="W1" s="151"/>
      <c r="X1" s="151"/>
      <c r="Y1" s="151"/>
      <c r="Z1" s="151"/>
      <c r="AA1" s="151"/>
      <c r="AB1" s="151"/>
      <c r="AC1" s="151"/>
      <c r="AD1" s="152" t="s">
        <v>60</v>
      </c>
      <c r="AE1" s="152"/>
      <c r="AF1" s="152"/>
      <c r="AG1" s="152"/>
      <c r="AH1" s="152"/>
      <c r="AI1" s="152"/>
      <c r="AJ1" s="152"/>
      <c r="AK1" s="152"/>
      <c r="AL1" s="152"/>
      <c r="AM1" s="152"/>
      <c r="AN1" s="152"/>
      <c r="AO1" s="152"/>
      <c r="AP1" s="153" t="s">
        <v>61</v>
      </c>
      <c r="AQ1" s="153"/>
      <c r="AR1" s="153"/>
      <c r="AS1" s="153"/>
      <c r="AT1" s="153"/>
      <c r="AU1" s="153"/>
      <c r="AV1" s="153"/>
      <c r="AW1" s="153"/>
      <c r="AX1" s="153"/>
      <c r="AY1" s="153"/>
      <c r="AZ1" s="153"/>
      <c r="BA1" s="153"/>
      <c r="BB1" s="154" t="s">
        <v>62</v>
      </c>
      <c r="BC1" s="154"/>
      <c r="BD1" s="154"/>
      <c r="BE1" s="154"/>
      <c r="BF1" s="154"/>
      <c r="BG1" s="154"/>
      <c r="BH1" s="154"/>
      <c r="BI1" s="154"/>
      <c r="BJ1" s="154"/>
      <c r="BK1" s="154"/>
      <c r="BL1" s="154"/>
      <c r="BM1" s="154"/>
      <c r="BN1" s="155" t="s">
        <v>63</v>
      </c>
      <c r="BO1" s="155"/>
      <c r="BP1" s="155"/>
      <c r="BQ1" s="155"/>
      <c r="BR1" s="155"/>
      <c r="BS1" s="155"/>
      <c r="BT1" s="155"/>
      <c r="BU1" s="155"/>
      <c r="BV1" s="155"/>
      <c r="BW1" s="155"/>
      <c r="BX1" s="155"/>
      <c r="BY1" s="155"/>
      <c r="BZ1" s="156" t="s">
        <v>64</v>
      </c>
      <c r="CA1" s="156"/>
      <c r="CB1" s="156"/>
      <c r="CC1" s="156"/>
      <c r="CD1" s="156"/>
      <c r="CE1" s="156"/>
      <c r="CF1" s="156"/>
      <c r="CG1" s="156"/>
      <c r="CH1" s="156"/>
      <c r="CI1" s="156"/>
      <c r="CJ1" s="156"/>
      <c r="CK1" s="156"/>
      <c r="CL1" s="150" t="s">
        <v>65</v>
      </c>
      <c r="CM1" s="150"/>
      <c r="CN1" s="150"/>
      <c r="CO1" s="150"/>
      <c r="CP1" s="150"/>
      <c r="CQ1" s="150"/>
      <c r="CR1" s="150"/>
      <c r="CS1" s="150"/>
      <c r="CT1" s="150"/>
      <c r="CU1" s="150"/>
      <c r="CV1" s="150"/>
      <c r="CW1" s="150"/>
    </row>
    <row r="2" spans="1:101" ht="15.75" customHeight="1" x14ac:dyDescent="0.45">
      <c r="A2" s="149"/>
      <c r="B2" s="149"/>
      <c r="C2" s="149"/>
      <c r="D2" s="149"/>
      <c r="E2" s="149"/>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row>
    <row r="3" spans="1:101"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row>
    <row r="4" spans="1:101"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row>
    <row r="5" spans="1:101"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row>
    <row r="6" spans="1:101"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row>
    <row r="7" spans="1:101"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row>
    <row r="8" spans="1:101"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row>
    <row r="9" spans="1:101"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row>
    <row r="10" spans="1:101"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row>
    <row r="11" spans="1:101"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row>
    <row r="12" spans="1:101"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row>
    <row r="13" spans="1:101"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row>
    <row r="14" spans="1:101"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row>
    <row r="15" spans="1:101"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row>
    <row r="16" spans="1:101"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row>
    <row r="17" spans="1:101"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row>
    <row r="18" spans="1:101"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row>
    <row r="19" spans="1:101"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row>
    <row r="20" spans="1:101"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row>
    <row r="21" spans="1:101"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row>
    <row r="22" spans="1:101"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row>
    <row r="23" spans="1:101"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row>
    <row r="24" spans="1:101"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row>
    <row r="25" spans="1:101"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row>
    <row r="26" spans="1:101"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row>
    <row r="27" spans="1:101"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row>
    <row r="28" spans="1:101"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row>
    <row r="29" spans="1:101"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row>
    <row r="30" spans="1:101"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row>
    <row r="31" spans="1:101"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row>
    <row r="32" spans="1:101"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row>
    <row r="33" spans="1:101"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row>
    <row r="34" spans="1:101"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row>
    <row r="35" spans="1:101"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row>
    <row r="36" spans="1:101"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row>
    <row r="37" spans="1:101"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row>
    <row r="38" spans="1:101"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row>
    <row r="39" spans="1:101"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row>
    <row r="40" spans="1:101"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row>
    <row r="41" spans="1:101"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row>
    <row r="42" spans="1:101"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row>
    <row r="43" spans="1:101"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row>
    <row r="44" spans="1:101"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row>
    <row r="45" spans="1:101"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row>
    <row r="46" spans="1:101"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row>
    <row r="47" spans="1:101"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row>
    <row r="48" spans="1:101"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row>
    <row r="49" spans="1:101"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row>
    <row r="50" spans="1:101"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row>
    <row r="51" spans="1:101"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row>
    <row r="52" spans="1:101"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row>
    <row r="53" spans="1:101"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row>
    <row r="54" spans="1:101"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row>
    <row r="55" spans="1:101"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row>
    <row r="56" spans="1:101"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row>
    <row r="57" spans="1:101"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row>
    <row r="58" spans="1:101"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row>
    <row r="59" spans="1:101"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row>
    <row r="60" spans="1:101"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row>
    <row r="61" spans="1:101"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row>
    <row r="62" spans="1:101"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row>
    <row r="63" spans="1:101"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row>
    <row r="64" spans="1:101"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row>
    <row r="65" spans="1:101"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row>
    <row r="66" spans="1:101"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row>
    <row r="67" spans="1:101"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row>
    <row r="68" spans="1:101"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row>
    <row r="69" spans="1:101"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row>
    <row r="70" spans="1:101"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row>
    <row r="71" spans="1:101"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row>
    <row r="72" spans="1:101"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row>
    <row r="73" spans="1:101"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row>
    <row r="74" spans="1:101"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row>
    <row r="75" spans="1:101"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row>
    <row r="76" spans="1:101"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row>
    <row r="77" spans="1:101"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row>
    <row r="78" spans="1:101"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row>
    <row r="79" spans="1:101"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row>
    <row r="80" spans="1:101"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row>
    <row r="81" spans="1:101"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row>
    <row r="82" spans="1:101"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row>
    <row r="83" spans="1:101"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row>
    <row r="84" spans="1:101"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row>
    <row r="85" spans="1:101"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row>
    <row r="86" spans="1:101"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row>
    <row r="87" spans="1:101"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row>
    <row r="88" spans="1:101"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row>
    <row r="89" spans="1:101"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row>
    <row r="90" spans="1:101"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row>
    <row r="91" spans="1:101"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row>
    <row r="92" spans="1:101"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row>
    <row r="93" spans="1:101"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row>
    <row r="94" spans="1:101"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row>
    <row r="95" spans="1:101"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row>
    <row r="96" spans="1:101"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row>
    <row r="97" spans="1:101"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row>
    <row r="98" spans="1:101"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row>
    <row r="99" spans="1:101"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row>
    <row r="100" spans="1:101"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row>
    <row r="101" spans="1:101"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row>
    <row r="102" spans="1:101"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row>
    <row r="103" spans="1:101"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row>
    <row r="104" spans="1:101"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row>
    <row r="105" spans="1:101"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row>
    <row r="106" spans="1:101"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row>
    <row r="107" spans="1:101"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row>
    <row r="108" spans="1:101"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row>
    <row r="109" spans="1:101"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row>
    <row r="110" spans="1:101"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row>
    <row r="111" spans="1:101"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row>
    <row r="112" spans="1:101"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row>
    <row r="113" spans="1:101"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row>
    <row r="114" spans="1:101"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row>
    <row r="115" spans="1:101"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row>
    <row r="116" spans="1:101"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row>
    <row r="117" spans="1:101"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row>
    <row r="118" spans="1:101"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row>
    <row r="119" spans="1:101"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row>
    <row r="120" spans="1:101"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row>
    <row r="121" spans="1:101"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row>
    <row r="122" spans="1:101"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row>
    <row r="123" spans="1:101"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row>
    <row r="124" spans="1:101"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row>
    <row r="125" spans="1:101"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row>
    <row r="126" spans="1:101"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row>
    <row r="127" spans="1:101"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row>
    <row r="128" spans="1:101"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row>
    <row r="129" spans="1:101"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row>
    <row r="130" spans="1:101"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row>
    <row r="131" spans="1:101"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row>
    <row r="132" spans="1:101"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row>
    <row r="133" spans="1:101"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row>
    <row r="134" spans="1:101"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row>
    <row r="135" spans="1:101"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row>
    <row r="136" spans="1:101"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row>
    <row r="137" spans="1:101"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row>
    <row r="138" spans="1:101"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row>
    <row r="139" spans="1:101"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row>
    <row r="140" spans="1:101"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row>
    <row r="141" spans="1:101"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row>
    <row r="142" spans="1:101"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row>
    <row r="143" spans="1:101"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row>
    <row r="144" spans="1:101"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row>
    <row r="145" spans="1:101"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row>
    <row r="146" spans="1:101"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row>
    <row r="147" spans="1:101"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row>
    <row r="148" spans="1:101"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row>
    <row r="149" spans="1:101"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row>
    <row r="150" spans="1:101"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row>
    <row r="151" spans="1:101"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row>
    <row r="152" spans="1:101"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row>
    <row r="153" spans="1:101"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row>
    <row r="154" spans="1:101"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row>
    <row r="155" spans="1:101"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row>
    <row r="156" spans="1:101"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row>
    <row r="157" spans="1:101"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row>
    <row r="158" spans="1:101"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row>
    <row r="159" spans="1:101"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row>
    <row r="160" spans="1:101"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row>
    <row r="161" spans="1:101"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row>
    <row r="162" spans="1:101"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row>
    <row r="163" spans="1:101"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row>
    <row r="164" spans="1:101"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row>
    <row r="165" spans="1:101"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row>
    <row r="166" spans="1:101"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row>
    <row r="167" spans="1:101"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row>
    <row r="168" spans="1:101"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row>
    <row r="169" spans="1:101"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row>
    <row r="170" spans="1:101"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row>
    <row r="171" spans="1:101"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row>
    <row r="172" spans="1:101"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row>
    <row r="173" spans="1:101"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row>
    <row r="174" spans="1:101"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row>
    <row r="175" spans="1:101"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row>
    <row r="176" spans="1:101"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row>
    <row r="177" spans="1:101"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row>
    <row r="178" spans="1:101"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row>
    <row r="179" spans="1:101"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row>
    <row r="180" spans="1:101"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row>
    <row r="181" spans="1:101"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row>
    <row r="182" spans="1:101"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row>
    <row r="183" spans="1:101"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row>
    <row r="184" spans="1:101"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row>
    <row r="185" spans="1:101"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row>
    <row r="186" spans="1:101"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row>
    <row r="187" spans="1:101"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row>
    <row r="188" spans="1:101"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row>
    <row r="189" spans="1:101"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row>
    <row r="190" spans="1:101"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row>
    <row r="191" spans="1:101"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row>
    <row r="192" spans="1:101"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row>
    <row r="193" spans="1:101"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row>
    <row r="194" spans="1:101"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row>
    <row r="195" spans="1:101"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row>
    <row r="196" spans="1:101"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row>
    <row r="197" spans="1:101"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row>
    <row r="198" spans="1:101"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row>
    <row r="199" spans="1:101"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row>
    <row r="200" spans="1:101"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row>
    <row r="201" spans="1:101"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row>
    <row r="202" spans="1:101"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row>
    <row r="203" spans="1:101"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row>
    <row r="204" spans="1:101"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row>
    <row r="205" spans="1:101"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row>
    <row r="206" spans="1:101"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row>
    <row r="207" spans="1:101"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row>
    <row r="208" spans="1:101"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row>
    <row r="209" spans="1:101"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row>
    <row r="210" spans="1:101"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row>
    <row r="211" spans="1:101"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row>
    <row r="212" spans="1:101"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row>
    <row r="213" spans="1:101"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row>
    <row r="214" spans="1:101"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row>
    <row r="215" spans="1:101"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row>
    <row r="216" spans="1:101"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row>
    <row r="217" spans="1:101"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row>
    <row r="218" spans="1:101"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row>
    <row r="219" spans="1:101"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row>
    <row r="220" spans="1:101"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row>
    <row r="221" spans="1:101"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row>
    <row r="222" spans="1:101"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row>
    <row r="223" spans="1:101"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row>
    <row r="224" spans="1:101"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row>
    <row r="225" spans="1:101"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row>
    <row r="226" spans="1:101"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row>
    <row r="227" spans="1:101"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row>
    <row r="228" spans="1:101"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row>
    <row r="229" spans="1:101"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row>
    <row r="230" spans="1:101"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row>
    <row r="231" spans="1:101"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row>
    <row r="232" spans="1:101"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row>
    <row r="233" spans="1:101"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row>
    <row r="234" spans="1:101"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row>
    <row r="235" spans="1:101"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row>
    <row r="236" spans="1:101"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row>
    <row r="237" spans="1:101"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row>
    <row r="238" spans="1:101"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row>
    <row r="239" spans="1:101"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row>
    <row r="240" spans="1:101"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row>
    <row r="241" spans="1:101"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row>
    <row r="242" spans="1:101"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row>
    <row r="243" spans="1:101"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row>
    <row r="244" spans="1:101"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row>
    <row r="245" spans="1:101"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row>
    <row r="246" spans="1:101"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row>
    <row r="247" spans="1:101"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row>
    <row r="248" spans="1:101"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row>
    <row r="249" spans="1:101"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row>
    <row r="250" spans="1:101"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row>
    <row r="251" spans="1:101"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row>
    <row r="252" spans="1:101"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row>
    <row r="253" spans="1:101"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row>
    <row r="254" spans="1:101"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row>
    <row r="255" spans="1:101"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row>
    <row r="256" spans="1:101"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row>
    <row r="257" spans="1:101"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row>
    <row r="258" spans="1:101"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row>
    <row r="259" spans="1:101"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row>
    <row r="260" spans="1:101"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row>
    <row r="261" spans="1:101"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row>
    <row r="262" spans="1:101"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row>
    <row r="263" spans="1:101"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row>
    <row r="264" spans="1:101"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row>
    <row r="265" spans="1:101"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row>
    <row r="266" spans="1:101"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row>
    <row r="267" spans="1:101"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row>
    <row r="268" spans="1:101"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row>
    <row r="269" spans="1:101"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row>
    <row r="270" spans="1:101"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row>
    <row r="271" spans="1:101"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row>
    <row r="272" spans="1:101"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row>
    <row r="273" spans="1:101"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row>
    <row r="274" spans="1:101"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row>
    <row r="275" spans="1:101"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row>
    <row r="276" spans="1:101"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row>
    <row r="277" spans="1:101"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row>
    <row r="278" spans="1:101"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row>
    <row r="279" spans="1:101"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row>
    <row r="280" spans="1:101"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row>
    <row r="281" spans="1:101"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row>
    <row r="282" spans="1:101"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row>
    <row r="283" spans="1:101"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row>
    <row r="284" spans="1:101"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row>
    <row r="285" spans="1:101"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row>
    <row r="286" spans="1:101"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row>
    <row r="287" spans="1:101"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row>
    <row r="288" spans="1:101"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row>
    <row r="289" spans="1:101"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row>
    <row r="290" spans="1:101"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row>
    <row r="291" spans="1:101"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row>
    <row r="292" spans="1:101"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row>
    <row r="293" spans="1:101"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row>
    <row r="294" spans="1:101"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row>
    <row r="295" spans="1:101"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row>
    <row r="296" spans="1:101"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row>
    <row r="297" spans="1:101"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row>
    <row r="298" spans="1:101"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row>
    <row r="299" spans="1:101"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row>
    <row r="300" spans="1:101"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row>
    <row r="301" spans="1:101"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row>
    <row r="302" spans="1:101"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row>
    <row r="303" spans="1:101"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row>
    <row r="304" spans="1:101"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row>
    <row r="305" spans="1:101"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row>
    <row r="306" spans="1:101"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row>
    <row r="307" spans="1:101"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row>
    <row r="308" spans="1:101"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row>
    <row r="309" spans="1:101"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row>
    <row r="310" spans="1:101"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row>
    <row r="311" spans="1:101"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row>
    <row r="312" spans="1:101"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row>
    <row r="313" spans="1:101"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row>
    <row r="314" spans="1:101"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row>
    <row r="315" spans="1:101"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row>
    <row r="316" spans="1:101"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row>
    <row r="317" spans="1:101"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row>
    <row r="318" spans="1:101"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row>
    <row r="319" spans="1:101"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row>
    <row r="320" spans="1:101"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row>
    <row r="321" spans="1:101"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row>
    <row r="322" spans="1:101"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row>
    <row r="323" spans="1:101"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row>
    <row r="324" spans="1:101"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row>
    <row r="325" spans="1:101"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row>
    <row r="326" spans="1:101"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row>
    <row r="327" spans="1:101"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row>
    <row r="328" spans="1:101"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row>
    <row r="329" spans="1:101"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row>
    <row r="330" spans="1:101"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row>
    <row r="331" spans="1:101"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row>
    <row r="332" spans="1:101"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row>
    <row r="333" spans="1:101"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row>
    <row r="334" spans="1:101"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row>
    <row r="335" spans="1:101"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row>
    <row r="336" spans="1:101"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row>
    <row r="337" spans="1:101"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row>
    <row r="338" spans="1:101"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row>
    <row r="339" spans="1:101"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row>
    <row r="340" spans="1:101"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row>
    <row r="341" spans="1:101"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row>
    <row r="342" spans="1:101"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row>
    <row r="343" spans="1:101"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row>
    <row r="344" spans="1:101"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row>
    <row r="345" spans="1:101"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row>
    <row r="346" spans="1:101"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row>
    <row r="347" spans="1:101"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row>
    <row r="348" spans="1:101"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row>
    <row r="349" spans="1:101"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row>
    <row r="350" spans="1:101"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row>
    <row r="351" spans="1:101"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row>
    <row r="352" spans="1:101"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row>
    <row r="353" spans="1:101"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row>
    <row r="354" spans="1:101"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row>
    <row r="355" spans="1:101"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row>
    <row r="356" spans="1:101"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row>
    <row r="357" spans="1:101"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row>
    <row r="358" spans="1:101"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row>
    <row r="359" spans="1:101"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row>
    <row r="360" spans="1:101"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row>
    <row r="361" spans="1:101"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row>
    <row r="362" spans="1:101"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row>
    <row r="363" spans="1:101"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row>
    <row r="364" spans="1:101"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row>
    <row r="365" spans="1:101"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row>
    <row r="366" spans="1:101"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row>
    <row r="367" spans="1:101"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row>
    <row r="368" spans="1:101"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row>
    <row r="369" spans="1:101"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row>
    <row r="370" spans="1:101"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row>
    <row r="371" spans="1:101"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row>
    <row r="372" spans="1:101"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row>
    <row r="373" spans="1:101"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row>
    <row r="374" spans="1:101"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row>
    <row r="375" spans="1:101"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row>
    <row r="376" spans="1:101"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row>
    <row r="377" spans="1:101"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row>
    <row r="378" spans="1:101"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row>
    <row r="379" spans="1:101"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row>
    <row r="380" spans="1:101"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row>
    <row r="381" spans="1:101"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row>
    <row r="382" spans="1:101"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row>
    <row r="383" spans="1:101"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row>
    <row r="384" spans="1:101"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row>
    <row r="385" spans="1:101"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row>
    <row r="386" spans="1:101"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row>
    <row r="387" spans="1:101"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row>
    <row r="388" spans="1:101"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row>
    <row r="389" spans="1:101"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row>
    <row r="390" spans="1:101"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row>
    <row r="391" spans="1:101"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row>
    <row r="392" spans="1:101"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row>
    <row r="393" spans="1:101"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row>
    <row r="394" spans="1:101"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row>
    <row r="395" spans="1:101"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row>
    <row r="396" spans="1:101"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row>
    <row r="397" spans="1:101"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row>
    <row r="398" spans="1:101"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row>
    <row r="399" spans="1:101"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row>
    <row r="400" spans="1:101"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row>
    <row r="401" spans="1:101"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row>
    <row r="402" spans="1:101"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row>
    <row r="403" spans="1:101"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row>
    <row r="404" spans="1:101"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row>
    <row r="405" spans="1:101"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row>
    <row r="406" spans="1:101"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row>
    <row r="407" spans="1:101"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row>
    <row r="408" spans="1:101"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row>
    <row r="409" spans="1:101"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row>
    <row r="410" spans="1:101"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row>
    <row r="411" spans="1:101"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row>
    <row r="412" spans="1:101"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row>
    <row r="413" spans="1:101"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row>
    <row r="414" spans="1:101"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row>
    <row r="415" spans="1:101"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row>
    <row r="416" spans="1:101"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row>
    <row r="417" spans="1:101"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row>
    <row r="418" spans="1:101"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row>
    <row r="419" spans="1:101"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row>
    <row r="420" spans="1:101"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row>
    <row r="421" spans="1:101"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row>
    <row r="422" spans="1:101"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row>
    <row r="423" spans="1:101"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row>
    <row r="424" spans="1:101"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row>
    <row r="425" spans="1:101"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row>
    <row r="426" spans="1:101"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row>
    <row r="427" spans="1:101"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row>
    <row r="428" spans="1:101"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row>
    <row r="429" spans="1:101"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row>
    <row r="430" spans="1:101"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row>
    <row r="431" spans="1:101"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row>
    <row r="432" spans="1:101"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row>
    <row r="433" spans="1:101"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row>
    <row r="434" spans="1:101"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row>
    <row r="435" spans="1:101"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row>
    <row r="436" spans="1:101"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row>
    <row r="437" spans="1:101"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row>
    <row r="438" spans="1:101"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row>
    <row r="439" spans="1:101"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row>
    <row r="440" spans="1:101"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row>
    <row r="441" spans="1:101"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row>
    <row r="442" spans="1:101"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row>
    <row r="443" spans="1:101"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row>
    <row r="444" spans="1:101"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row>
    <row r="445" spans="1:101"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row>
    <row r="446" spans="1:101"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row>
    <row r="447" spans="1:101"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row>
    <row r="448" spans="1:101"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row>
    <row r="449" spans="1:101"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row>
    <row r="450" spans="1:101"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row>
    <row r="451" spans="1:101"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row>
    <row r="452" spans="1:101"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row>
    <row r="453" spans="1:101"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row>
    <row r="454" spans="1:101"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row>
    <row r="455" spans="1:101"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row>
    <row r="456" spans="1:101"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row>
    <row r="457" spans="1:101"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row>
    <row r="458" spans="1:101"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row>
    <row r="459" spans="1:101"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row>
    <row r="460" spans="1:101"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row>
    <row r="461" spans="1:101"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row>
    <row r="462" spans="1:101"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row>
    <row r="463" spans="1:101"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row>
    <row r="464" spans="1:101"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row>
    <row r="465" spans="1:101"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row>
    <row r="466" spans="1:101"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row>
    <row r="467" spans="1:101"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row>
    <row r="468" spans="1:101"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row>
    <row r="469" spans="1:101"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row>
    <row r="470" spans="1:101"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row>
    <row r="471" spans="1:101"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row>
    <row r="472" spans="1:101"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row>
    <row r="473" spans="1:101"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row>
    <row r="474" spans="1:101"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row>
    <row r="475" spans="1:101"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row>
    <row r="476" spans="1:101"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row>
    <row r="477" spans="1:101"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row>
    <row r="478" spans="1:101"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row>
    <row r="479" spans="1:101"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row>
    <row r="480" spans="1:101"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row>
    <row r="481" spans="1:101"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row>
    <row r="482" spans="1:101"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row>
    <row r="483" spans="1:101"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row>
    <row r="484" spans="1:101"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row>
    <row r="485" spans="1:101"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row>
    <row r="486" spans="1:101"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row>
    <row r="487" spans="1:101"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row>
    <row r="488" spans="1:101"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row>
    <row r="489" spans="1:101"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row>
    <row r="490" spans="1:101"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row>
    <row r="491" spans="1:101"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row>
    <row r="492" spans="1:101"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row>
    <row r="493" spans="1:101"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row>
    <row r="494" spans="1:101"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row>
    <row r="495" spans="1:101"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row>
    <row r="496" spans="1:101"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row>
    <row r="497" spans="1:101"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row>
    <row r="498" spans="1:101"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row>
    <row r="499" spans="1:101"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row>
  </sheetData>
  <mergeCells count="13">
    <mergeCell ref="CL1:CW1"/>
    <mergeCell ref="R1:AC1"/>
    <mergeCell ref="AD1:AO1"/>
    <mergeCell ref="AP1:BA1"/>
    <mergeCell ref="BB1:BM1"/>
    <mergeCell ref="BN1:BY1"/>
    <mergeCell ref="BZ1:CK1"/>
    <mergeCell ref="F1:Q1"/>
    <mergeCell ref="A1:A2"/>
    <mergeCell ref="B1:B2"/>
    <mergeCell ref="C1:C2"/>
    <mergeCell ref="D1:D2"/>
    <mergeCell ref="E1:E2"/>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01BB4-ADFB-4B4A-ACC1-7F05A831191D}">
  <sheetPr codeName="Sheet8"/>
  <dimension ref="A1:DF499"/>
  <sheetViews>
    <sheetView zoomScaleNormal="100" workbookViewId="0">
      <pane xSplit="5" ySplit="2" topLeftCell="CN96" activePane="bottomRight" state="frozen"/>
      <selection pane="topRight" activeCell="F1" sqref="F1"/>
      <selection pane="bottomLeft" activeCell="A3" sqref="A3"/>
      <selection pane="bottomRight" activeCell="CX2" sqref="CX2"/>
    </sheetView>
  </sheetViews>
  <sheetFormatPr defaultColWidth="8.6640625" defaultRowHeight="14.25" x14ac:dyDescent="0.45"/>
  <cols>
    <col min="1" max="1" width="10" customWidth="1"/>
    <col min="2" max="2" width="14" customWidth="1"/>
    <col min="3" max="4" width="9" customWidth="1"/>
    <col min="5" max="5" width="13" customWidth="1"/>
    <col min="6" max="109" width="9" customWidth="1"/>
    <col min="110" max="110" width="16.73046875" customWidth="1"/>
    <col min="111" max="113" width="9" customWidth="1"/>
  </cols>
  <sheetData>
    <row r="1" spans="1:110" ht="21.75" customHeight="1" x14ac:dyDescent="0.45">
      <c r="A1" s="149" t="s">
        <v>54</v>
      </c>
      <c r="B1" s="149" t="s">
        <v>2</v>
      </c>
      <c r="C1" s="149" t="s">
        <v>55</v>
      </c>
      <c r="D1" s="149" t="s">
        <v>56</v>
      </c>
      <c r="E1" s="149" t="s">
        <v>57</v>
      </c>
      <c r="F1" s="148" t="s">
        <v>58</v>
      </c>
      <c r="G1" s="148"/>
      <c r="H1" s="148"/>
      <c r="I1" s="148"/>
      <c r="J1" s="148"/>
      <c r="K1" s="148"/>
      <c r="L1" s="148"/>
      <c r="M1" s="148"/>
      <c r="N1" s="148"/>
      <c r="O1" s="148"/>
      <c r="P1" s="148"/>
      <c r="Q1" s="148"/>
      <c r="R1" s="151" t="s">
        <v>59</v>
      </c>
      <c r="S1" s="151"/>
      <c r="T1" s="151"/>
      <c r="U1" s="151"/>
      <c r="V1" s="151"/>
      <c r="W1" s="151"/>
      <c r="X1" s="151"/>
      <c r="Y1" s="151"/>
      <c r="Z1" s="151"/>
      <c r="AA1" s="151"/>
      <c r="AB1" s="151"/>
      <c r="AC1" s="151"/>
      <c r="AD1" s="152" t="s">
        <v>60</v>
      </c>
      <c r="AE1" s="152"/>
      <c r="AF1" s="152"/>
      <c r="AG1" s="152"/>
      <c r="AH1" s="152"/>
      <c r="AI1" s="152"/>
      <c r="AJ1" s="152"/>
      <c r="AK1" s="152"/>
      <c r="AL1" s="152"/>
      <c r="AM1" s="152"/>
      <c r="AN1" s="152"/>
      <c r="AO1" s="152"/>
      <c r="AP1" s="153" t="s">
        <v>61</v>
      </c>
      <c r="AQ1" s="153"/>
      <c r="AR1" s="153"/>
      <c r="AS1" s="153"/>
      <c r="AT1" s="153"/>
      <c r="AU1" s="153"/>
      <c r="AV1" s="153"/>
      <c r="AW1" s="153"/>
      <c r="AX1" s="153"/>
      <c r="AY1" s="153"/>
      <c r="AZ1" s="153"/>
      <c r="BA1" s="153"/>
      <c r="BB1" s="154" t="s">
        <v>62</v>
      </c>
      <c r="BC1" s="154"/>
      <c r="BD1" s="154"/>
      <c r="BE1" s="154"/>
      <c r="BF1" s="154"/>
      <c r="BG1" s="154"/>
      <c r="BH1" s="154"/>
      <c r="BI1" s="154"/>
      <c r="BJ1" s="154"/>
      <c r="BK1" s="154"/>
      <c r="BL1" s="154"/>
      <c r="BM1" s="154"/>
      <c r="BN1" s="155" t="s">
        <v>63</v>
      </c>
      <c r="BO1" s="155"/>
      <c r="BP1" s="155"/>
      <c r="BQ1" s="155"/>
      <c r="BR1" s="155"/>
      <c r="BS1" s="155"/>
      <c r="BT1" s="155"/>
      <c r="BU1" s="155"/>
      <c r="BV1" s="155"/>
      <c r="BW1" s="155"/>
      <c r="BX1" s="155"/>
      <c r="BY1" s="155"/>
      <c r="BZ1" s="156" t="s">
        <v>64</v>
      </c>
      <c r="CA1" s="156"/>
      <c r="CB1" s="156"/>
      <c r="CC1" s="156"/>
      <c r="CD1" s="156"/>
      <c r="CE1" s="156"/>
      <c r="CF1" s="156"/>
      <c r="CG1" s="156"/>
      <c r="CH1" s="156"/>
      <c r="CI1" s="156"/>
      <c r="CJ1" s="156"/>
      <c r="CK1" s="156"/>
      <c r="CL1" s="150" t="s">
        <v>65</v>
      </c>
      <c r="CM1" s="150"/>
      <c r="CN1" s="150"/>
      <c r="CO1" s="150"/>
      <c r="CP1" s="150"/>
      <c r="CQ1" s="150"/>
      <c r="CR1" s="150"/>
      <c r="CS1" s="150"/>
      <c r="CT1" s="150"/>
      <c r="CU1" s="150"/>
      <c r="CV1" s="150"/>
      <c r="CW1" s="150"/>
      <c r="CX1" s="204" t="s">
        <v>618</v>
      </c>
      <c r="CY1" s="204"/>
      <c r="CZ1" s="204"/>
      <c r="DA1" s="204"/>
      <c r="DB1" s="204"/>
      <c r="DC1" s="204"/>
      <c r="DD1" s="204"/>
      <c r="DE1" s="204"/>
      <c r="DF1" s="157" t="s">
        <v>577</v>
      </c>
    </row>
    <row r="2" spans="1:110" ht="15.75" customHeight="1" x14ac:dyDescent="0.45">
      <c r="A2" s="149"/>
      <c r="B2" s="149"/>
      <c r="C2" s="149"/>
      <c r="D2" s="149"/>
      <c r="E2" s="149"/>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c r="CX2" s="203">
        <v>2018</v>
      </c>
      <c r="CY2" s="203">
        <v>2019</v>
      </c>
      <c r="CZ2" s="203">
        <v>2020</v>
      </c>
      <c r="DA2" s="203">
        <v>2021</v>
      </c>
      <c r="DB2" s="203">
        <v>2022</v>
      </c>
      <c r="DC2" s="203">
        <v>2023</v>
      </c>
      <c r="DD2" s="203">
        <v>2024</v>
      </c>
      <c r="DE2" s="203">
        <v>2025</v>
      </c>
      <c r="DF2" s="157"/>
    </row>
    <row r="3" spans="1:110"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c r="CX3">
        <f>SUM(F3:Q3)</f>
        <v>4777.43</v>
      </c>
      <c r="CY3">
        <f>SUM(R3:AC3)</f>
        <v>0</v>
      </c>
      <c r="CZ3">
        <f>SUM(AD3:AO3)</f>
        <v>0</v>
      </c>
      <c r="DA3">
        <f>SUM(AP3:BA3)</f>
        <v>0</v>
      </c>
      <c r="DB3">
        <f>SUM(BB3:BM3)</f>
        <v>0</v>
      </c>
      <c r="DC3">
        <f>SUM(BN3:BY3)</f>
        <v>0</v>
      </c>
      <c r="DD3">
        <f>SUM(BZ3:CK3)</f>
        <v>0</v>
      </c>
      <c r="DE3">
        <f>SUM(CL3:CW3)</f>
        <v>0</v>
      </c>
      <c r="DF3">
        <f>SUM(F3:CW3)</f>
        <v>4777.43</v>
      </c>
    </row>
    <row r="4" spans="1:110"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c r="CX4">
        <f>SUM(F4:Q4)</f>
        <v>0</v>
      </c>
      <c r="CY4">
        <f>SUM(R4:AC4)</f>
        <v>0</v>
      </c>
      <c r="CZ4">
        <f>SUM(AD4:AO4)</f>
        <v>0</v>
      </c>
      <c r="DA4">
        <f>SUM(AP4:BA4)</f>
        <v>0</v>
      </c>
      <c r="DB4">
        <f>SUM(BB4:BM4)</f>
        <v>5454.3</v>
      </c>
      <c r="DC4">
        <f>SUM(BN4:BY4)</f>
        <v>881.28</v>
      </c>
      <c r="DD4">
        <f>SUM(BZ4:CK4)</f>
        <v>0</v>
      </c>
      <c r="DE4">
        <f>SUM(CL4:CW4)</f>
        <v>0</v>
      </c>
      <c r="DF4">
        <f>SUM(F4:CW4)</f>
        <v>6335.58</v>
      </c>
    </row>
    <row r="5" spans="1:110"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c r="CX5">
        <f>SUM(F5:Q5)</f>
        <v>0</v>
      </c>
      <c r="CY5">
        <f>SUM(R5:AC5)</f>
        <v>0</v>
      </c>
      <c r="CZ5">
        <f>SUM(AD5:AO5)</f>
        <v>0</v>
      </c>
      <c r="DA5">
        <f>SUM(AP5:BA5)</f>
        <v>0</v>
      </c>
      <c r="DB5">
        <f>SUM(BB5:BM5)</f>
        <v>0</v>
      </c>
      <c r="DC5">
        <f>SUM(BN5:BY5)</f>
        <v>4640.37</v>
      </c>
      <c r="DD5">
        <f>SUM(BZ5:CK5)</f>
        <v>0</v>
      </c>
      <c r="DE5">
        <f>SUM(CL5:CW5)</f>
        <v>0</v>
      </c>
      <c r="DF5">
        <f>SUM(F5:CW5)</f>
        <v>4640.37</v>
      </c>
    </row>
    <row r="6" spans="1:110"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c r="CX6">
        <f>SUM(F6:Q6)</f>
        <v>0</v>
      </c>
      <c r="CY6">
        <f>SUM(R6:AC6)</f>
        <v>0</v>
      </c>
      <c r="CZ6">
        <f>SUM(AD6:AO6)</f>
        <v>0</v>
      </c>
      <c r="DA6">
        <f>SUM(AP6:BA6)</f>
        <v>0</v>
      </c>
      <c r="DB6">
        <f>SUM(BB6:BM6)</f>
        <v>0</v>
      </c>
      <c r="DC6">
        <f>SUM(BN6:BY6)</f>
        <v>0</v>
      </c>
      <c r="DD6">
        <f>SUM(BZ6:CK6)</f>
        <v>0</v>
      </c>
      <c r="DE6">
        <f>SUM(CL6:CW6)</f>
        <v>6517.61</v>
      </c>
      <c r="DF6">
        <f>SUM(F6:CW6)</f>
        <v>6517.61</v>
      </c>
    </row>
    <row r="7" spans="1:110"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c r="CX7">
        <f>SUM(F7:Q7)</f>
        <v>0</v>
      </c>
      <c r="CY7">
        <f>SUM(R7:AC7)</f>
        <v>0</v>
      </c>
      <c r="CZ7">
        <f>SUM(AD7:AO7)</f>
        <v>0</v>
      </c>
      <c r="DA7">
        <f>SUM(AP7:BA7)</f>
        <v>0</v>
      </c>
      <c r="DB7">
        <f>SUM(BB7:BM7)</f>
        <v>0</v>
      </c>
      <c r="DC7">
        <f>SUM(BN7:BY7)</f>
        <v>50.37</v>
      </c>
      <c r="DD7">
        <f>SUM(BZ7:CK7)</f>
        <v>3894.2</v>
      </c>
      <c r="DE7">
        <f>SUM(CL7:CW7)</f>
        <v>2943.16</v>
      </c>
      <c r="DF7">
        <f>SUM(F7:CW7)</f>
        <v>6887.73</v>
      </c>
    </row>
    <row r="8" spans="1:110"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c r="CX8">
        <f>SUM(F8:Q8)</f>
        <v>0</v>
      </c>
      <c r="CY8">
        <f>SUM(R8:AC8)</f>
        <v>0</v>
      </c>
      <c r="CZ8">
        <f>SUM(AD8:AO8)</f>
        <v>0</v>
      </c>
      <c r="DA8">
        <f>SUM(AP8:BA8)</f>
        <v>0</v>
      </c>
      <c r="DB8">
        <f>SUM(BB8:BM8)</f>
        <v>0</v>
      </c>
      <c r="DC8">
        <f>SUM(BN8:BY8)</f>
        <v>0</v>
      </c>
      <c r="DD8">
        <f>SUM(BZ8:CK8)</f>
        <v>4538.2500000000009</v>
      </c>
      <c r="DE8">
        <f>SUM(CL8:CW8)</f>
        <v>0</v>
      </c>
      <c r="DF8">
        <f>SUM(F8:CW8)</f>
        <v>4538.2500000000009</v>
      </c>
    </row>
    <row r="9" spans="1:110"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c r="CX9">
        <f>SUM(F9:Q9)</f>
        <v>2435.31</v>
      </c>
      <c r="CY9">
        <f>SUM(R9:AC9)</f>
        <v>2449.96</v>
      </c>
      <c r="CZ9">
        <f>SUM(AD9:AO9)</f>
        <v>0</v>
      </c>
      <c r="DA9">
        <f>SUM(AP9:BA9)</f>
        <v>0</v>
      </c>
      <c r="DB9">
        <f>SUM(BB9:BM9)</f>
        <v>0</v>
      </c>
      <c r="DC9">
        <f>SUM(BN9:BY9)</f>
        <v>0</v>
      </c>
      <c r="DD9">
        <f>SUM(BZ9:CK9)</f>
        <v>0</v>
      </c>
      <c r="DE9">
        <f>SUM(CL9:CW9)</f>
        <v>0</v>
      </c>
      <c r="DF9">
        <f>SUM(F9:CW9)</f>
        <v>4885.2699999999995</v>
      </c>
    </row>
    <row r="10" spans="1:110"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c r="CX10">
        <f>SUM(F10:Q10)</f>
        <v>0</v>
      </c>
      <c r="CY10">
        <f>SUM(R10:AC10)</f>
        <v>0</v>
      </c>
      <c r="CZ10">
        <f>SUM(AD10:AO10)</f>
        <v>0</v>
      </c>
      <c r="DA10">
        <f>SUM(AP10:BA10)</f>
        <v>0</v>
      </c>
      <c r="DB10">
        <f>SUM(BB10:BM10)</f>
        <v>1354.34</v>
      </c>
      <c r="DC10">
        <f>SUM(BN10:BY10)</f>
        <v>7886.5</v>
      </c>
      <c r="DD10">
        <f>SUM(BZ10:CK10)</f>
        <v>0</v>
      </c>
      <c r="DE10">
        <f>SUM(CL10:CW10)</f>
        <v>0</v>
      </c>
      <c r="DF10">
        <f>SUM(F10:CW10)</f>
        <v>9240.84</v>
      </c>
    </row>
    <row r="11" spans="1:110"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c r="CX11">
        <f>SUM(F11:Q11)</f>
        <v>0</v>
      </c>
      <c r="CY11">
        <f>SUM(R11:AC11)</f>
        <v>553.12</v>
      </c>
      <c r="CZ11">
        <f>SUM(AD11:AO11)</f>
        <v>1745.98</v>
      </c>
      <c r="DA11">
        <f>SUM(AP11:BA11)</f>
        <v>0</v>
      </c>
      <c r="DB11">
        <f>SUM(BB11:BM11)</f>
        <v>0</v>
      </c>
      <c r="DC11">
        <f>SUM(BN11:BY11)</f>
        <v>0</v>
      </c>
      <c r="DD11">
        <f>SUM(BZ11:CK11)</f>
        <v>0</v>
      </c>
      <c r="DE11">
        <f>SUM(CL11:CW11)</f>
        <v>0</v>
      </c>
      <c r="DF11">
        <f>SUM(F11:CW11)</f>
        <v>2299.1</v>
      </c>
    </row>
    <row r="12" spans="1:110"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c r="CX12">
        <f>SUM(F12:Q12)</f>
        <v>4799.57</v>
      </c>
      <c r="CY12">
        <f>SUM(R12:AC12)</f>
        <v>19552.829999999998</v>
      </c>
      <c r="CZ12">
        <f>SUM(AD12:AO12)</f>
        <v>15654.57</v>
      </c>
      <c r="DA12">
        <f>SUM(AP12:BA12)</f>
        <v>0</v>
      </c>
      <c r="DB12">
        <f>SUM(BB12:BM12)</f>
        <v>0</v>
      </c>
      <c r="DC12">
        <f>SUM(BN12:BY12)</f>
        <v>0</v>
      </c>
      <c r="DD12">
        <f>SUM(BZ12:CK12)</f>
        <v>0</v>
      </c>
      <c r="DE12">
        <f>SUM(CL12:CW12)</f>
        <v>0</v>
      </c>
      <c r="DF12">
        <f>SUM(F12:CW12)</f>
        <v>40006.97</v>
      </c>
    </row>
    <row r="13" spans="1:110"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c r="CX13">
        <f>SUM(F13:Q13)</f>
        <v>0</v>
      </c>
      <c r="CY13">
        <f>SUM(R13:AC13)</f>
        <v>0</v>
      </c>
      <c r="CZ13">
        <f>SUM(AD13:AO13)</f>
        <v>0</v>
      </c>
      <c r="DA13">
        <f>SUM(AP13:BA13)</f>
        <v>0</v>
      </c>
      <c r="DB13">
        <f>SUM(BB13:BM13)</f>
        <v>0</v>
      </c>
      <c r="DC13">
        <f>SUM(BN13:BY13)</f>
        <v>0</v>
      </c>
      <c r="DD13">
        <f>SUM(BZ13:CK13)</f>
        <v>0</v>
      </c>
      <c r="DE13">
        <f>SUM(CL13:CW13)</f>
        <v>1943.71</v>
      </c>
      <c r="DF13">
        <f>SUM(F13:CW13)</f>
        <v>1943.71</v>
      </c>
    </row>
    <row r="14" spans="1:110"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c r="CX14">
        <f>SUM(F14:Q14)</f>
        <v>5703.18</v>
      </c>
      <c r="CY14">
        <f>SUM(R14:AC14)</f>
        <v>3257.8</v>
      </c>
      <c r="CZ14">
        <f>SUM(AD14:AO14)</f>
        <v>0</v>
      </c>
      <c r="DA14">
        <f>SUM(AP14:BA14)</f>
        <v>0</v>
      </c>
      <c r="DB14">
        <f>SUM(BB14:BM14)</f>
        <v>0</v>
      </c>
      <c r="DC14">
        <f>SUM(BN14:BY14)</f>
        <v>0</v>
      </c>
      <c r="DD14">
        <f>SUM(BZ14:CK14)</f>
        <v>0</v>
      </c>
      <c r="DE14">
        <f>SUM(CL14:CW14)</f>
        <v>0</v>
      </c>
      <c r="DF14">
        <f>SUM(F14:CW14)</f>
        <v>8960.9800000000014</v>
      </c>
    </row>
    <row r="15" spans="1:110"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c r="CX15">
        <f>SUM(F15:Q15)</f>
        <v>0</v>
      </c>
      <c r="CY15">
        <f>SUM(R15:AC15)</f>
        <v>0</v>
      </c>
      <c r="CZ15">
        <f>SUM(AD15:AO15)</f>
        <v>0</v>
      </c>
      <c r="DA15">
        <f>SUM(AP15:BA15)</f>
        <v>0</v>
      </c>
      <c r="DB15">
        <f>SUM(BB15:BM15)</f>
        <v>1450.68</v>
      </c>
      <c r="DC15">
        <f>SUM(BN15:BY15)</f>
        <v>1600.44</v>
      </c>
      <c r="DD15">
        <f>SUM(BZ15:CK15)</f>
        <v>0</v>
      </c>
      <c r="DE15">
        <f>SUM(CL15:CW15)</f>
        <v>0</v>
      </c>
      <c r="DF15">
        <f>SUM(F15:CW15)</f>
        <v>3051.12</v>
      </c>
    </row>
    <row r="16" spans="1:110"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c r="CX16">
        <f>SUM(F16:Q16)</f>
        <v>0</v>
      </c>
      <c r="CY16">
        <f>SUM(R16:AC16)</f>
        <v>0</v>
      </c>
      <c r="CZ16">
        <f>SUM(AD16:AO16)</f>
        <v>0</v>
      </c>
      <c r="DA16">
        <f>SUM(AP16:BA16)</f>
        <v>0</v>
      </c>
      <c r="DB16">
        <f>SUM(BB16:BM16)</f>
        <v>0</v>
      </c>
      <c r="DC16">
        <f>SUM(BN16:BY16)</f>
        <v>3989.1999999999994</v>
      </c>
      <c r="DD16">
        <f>SUM(BZ16:CK16)</f>
        <v>8787.0600000000013</v>
      </c>
      <c r="DE16">
        <f>SUM(CL16:CW16)</f>
        <v>0</v>
      </c>
      <c r="DF16">
        <f>SUM(F16:CW16)</f>
        <v>12776.26</v>
      </c>
    </row>
    <row r="17" spans="1:110"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c r="CX17">
        <f>SUM(F17:Q17)</f>
        <v>4333.54</v>
      </c>
      <c r="CY17">
        <f>SUM(R17:AC17)</f>
        <v>0</v>
      </c>
      <c r="CZ17">
        <f>SUM(AD17:AO17)</f>
        <v>0</v>
      </c>
      <c r="DA17">
        <f>SUM(AP17:BA17)</f>
        <v>0</v>
      </c>
      <c r="DB17">
        <f>SUM(BB17:BM17)</f>
        <v>0</v>
      </c>
      <c r="DC17">
        <f>SUM(BN17:BY17)</f>
        <v>0</v>
      </c>
      <c r="DD17">
        <f>SUM(BZ17:CK17)</f>
        <v>0</v>
      </c>
      <c r="DE17">
        <f>SUM(CL17:CW17)</f>
        <v>0</v>
      </c>
      <c r="DF17">
        <f>SUM(F17:CW17)</f>
        <v>4333.54</v>
      </c>
    </row>
    <row r="18" spans="1:110"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c r="CX18">
        <f>SUM(F18:Q18)</f>
        <v>0</v>
      </c>
      <c r="CY18">
        <f>SUM(R18:AC18)</f>
        <v>0</v>
      </c>
      <c r="CZ18">
        <f>SUM(AD18:AO18)</f>
        <v>4165.95</v>
      </c>
      <c r="DA18">
        <f>SUM(AP18:BA18)</f>
        <v>0</v>
      </c>
      <c r="DB18">
        <f>SUM(BB18:BM18)</f>
        <v>0</v>
      </c>
      <c r="DC18">
        <f>SUM(BN18:BY18)</f>
        <v>0</v>
      </c>
      <c r="DD18">
        <f>SUM(BZ18:CK18)</f>
        <v>0</v>
      </c>
      <c r="DE18">
        <f>SUM(CL18:CW18)</f>
        <v>0</v>
      </c>
      <c r="DF18">
        <f>SUM(F18:CW18)</f>
        <v>4165.95</v>
      </c>
    </row>
    <row r="19" spans="1:110"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c r="CX19">
        <f>SUM(F19:Q19)</f>
        <v>0</v>
      </c>
      <c r="CY19">
        <f>SUM(R19:AC19)</f>
        <v>0</v>
      </c>
      <c r="CZ19">
        <f>SUM(AD19:AO19)</f>
        <v>0</v>
      </c>
      <c r="DA19">
        <f>SUM(AP19:BA19)</f>
        <v>0</v>
      </c>
      <c r="DB19">
        <f>SUM(BB19:BM19)</f>
        <v>0</v>
      </c>
      <c r="DC19">
        <f>SUM(BN19:BY19)</f>
        <v>528.97</v>
      </c>
      <c r="DD19">
        <f>SUM(BZ19:CK19)</f>
        <v>2706.3199999999997</v>
      </c>
      <c r="DE19">
        <f>SUM(CL19:CW19)</f>
        <v>0</v>
      </c>
      <c r="DF19">
        <f>SUM(F19:CW19)</f>
        <v>3235.29</v>
      </c>
    </row>
    <row r="20" spans="1:110"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c r="CX20">
        <f>SUM(F20:Q20)</f>
        <v>0</v>
      </c>
      <c r="CY20">
        <f>SUM(R20:AC20)</f>
        <v>0</v>
      </c>
      <c r="CZ20">
        <f>SUM(AD20:AO20)</f>
        <v>0</v>
      </c>
      <c r="DA20">
        <f>SUM(AP20:BA20)</f>
        <v>0</v>
      </c>
      <c r="DB20">
        <f>SUM(BB20:BM20)</f>
        <v>2684.0200000000004</v>
      </c>
      <c r="DC20">
        <f>SUM(BN20:BY20)</f>
        <v>0</v>
      </c>
      <c r="DD20">
        <f>SUM(BZ20:CK20)</f>
        <v>0</v>
      </c>
      <c r="DE20">
        <f>SUM(CL20:CW20)</f>
        <v>0</v>
      </c>
      <c r="DF20">
        <f>SUM(F20:CW20)</f>
        <v>2684.0200000000004</v>
      </c>
    </row>
    <row r="21" spans="1:110"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c r="CX21">
        <f>SUM(F21:Q21)</f>
        <v>0</v>
      </c>
      <c r="CY21">
        <f>SUM(R21:AC21)</f>
        <v>0</v>
      </c>
      <c r="CZ21">
        <f>SUM(AD21:AO21)</f>
        <v>0</v>
      </c>
      <c r="DA21">
        <f>SUM(AP21:BA21)</f>
        <v>0</v>
      </c>
      <c r="DB21">
        <f>SUM(BB21:BM21)</f>
        <v>1184.1300000000001</v>
      </c>
      <c r="DC21">
        <f>SUM(BN21:BY21)</f>
        <v>278.97000000000003</v>
      </c>
      <c r="DD21">
        <f>SUM(BZ21:CK21)</f>
        <v>0</v>
      </c>
      <c r="DE21">
        <f>SUM(CL21:CW21)</f>
        <v>0</v>
      </c>
      <c r="DF21">
        <f>SUM(F21:CW21)</f>
        <v>1463.1000000000001</v>
      </c>
    </row>
    <row r="22" spans="1:110"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c r="CX22">
        <f>SUM(F22:Q22)</f>
        <v>0</v>
      </c>
      <c r="CY22">
        <f>SUM(R22:AC22)</f>
        <v>8405.94</v>
      </c>
      <c r="CZ22">
        <f>SUM(AD22:AO22)</f>
        <v>0</v>
      </c>
      <c r="DA22">
        <f>SUM(AP22:BA22)</f>
        <v>0</v>
      </c>
      <c r="DB22">
        <f>SUM(BB22:BM22)</f>
        <v>0</v>
      </c>
      <c r="DC22">
        <f>SUM(BN22:BY22)</f>
        <v>0</v>
      </c>
      <c r="DD22">
        <f>SUM(BZ22:CK22)</f>
        <v>0</v>
      </c>
      <c r="DE22">
        <f>SUM(CL22:CW22)</f>
        <v>0</v>
      </c>
      <c r="DF22">
        <f>SUM(F22:CW22)</f>
        <v>8405.94</v>
      </c>
    </row>
    <row r="23" spans="1:110"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c r="CX23">
        <f>SUM(F23:Q23)</f>
        <v>0</v>
      </c>
      <c r="CY23">
        <f>SUM(R23:AC23)</f>
        <v>0</v>
      </c>
      <c r="CZ23">
        <f>SUM(AD23:AO23)</f>
        <v>0</v>
      </c>
      <c r="DA23">
        <f>SUM(AP23:BA23)</f>
        <v>0</v>
      </c>
      <c r="DB23">
        <f>SUM(BB23:BM23)</f>
        <v>0</v>
      </c>
      <c r="DC23">
        <f>SUM(BN23:BY23)</f>
        <v>0</v>
      </c>
      <c r="DD23">
        <f>SUM(BZ23:CK23)</f>
        <v>0</v>
      </c>
      <c r="DE23">
        <f>SUM(CL23:CW23)</f>
        <v>1009.22</v>
      </c>
      <c r="DF23">
        <f>SUM(F23:CW23)</f>
        <v>1009.22</v>
      </c>
    </row>
    <row r="24" spans="1:110"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c r="CX24">
        <f>SUM(F24:Q24)</f>
        <v>0</v>
      </c>
      <c r="CY24">
        <f>SUM(R24:AC24)</f>
        <v>0</v>
      </c>
      <c r="CZ24">
        <f>SUM(AD24:AO24)</f>
        <v>0</v>
      </c>
      <c r="DA24">
        <f>SUM(AP24:BA24)</f>
        <v>0</v>
      </c>
      <c r="DB24">
        <f>SUM(BB24:BM24)</f>
        <v>0</v>
      </c>
      <c r="DC24">
        <f>SUM(BN24:BY24)</f>
        <v>0</v>
      </c>
      <c r="DD24">
        <f>SUM(BZ24:CK24)</f>
        <v>0</v>
      </c>
      <c r="DE24">
        <f>SUM(CL24:CW24)</f>
        <v>1804.76</v>
      </c>
      <c r="DF24">
        <f>SUM(F24:CW24)</f>
        <v>1804.76</v>
      </c>
    </row>
    <row r="25" spans="1:110"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c r="CX25">
        <f>SUM(F25:Q25)</f>
        <v>7475.88</v>
      </c>
      <c r="CY25">
        <f>SUM(R25:AC25)</f>
        <v>749.86</v>
      </c>
      <c r="CZ25">
        <f>SUM(AD25:AO25)</f>
        <v>0</v>
      </c>
      <c r="DA25">
        <f>SUM(AP25:BA25)</f>
        <v>0</v>
      </c>
      <c r="DB25">
        <f>SUM(BB25:BM25)</f>
        <v>0</v>
      </c>
      <c r="DC25">
        <f>SUM(BN25:BY25)</f>
        <v>0</v>
      </c>
      <c r="DD25">
        <f>SUM(BZ25:CK25)</f>
        <v>0</v>
      </c>
      <c r="DE25">
        <f>SUM(CL25:CW25)</f>
        <v>0</v>
      </c>
      <c r="DF25">
        <f>SUM(F25:CW25)</f>
        <v>8225.74</v>
      </c>
    </row>
    <row r="26" spans="1:110"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c r="CX26">
        <f>SUM(F26:Q26)</f>
        <v>0</v>
      </c>
      <c r="CY26">
        <f>SUM(R26:AC26)</f>
        <v>0</v>
      </c>
      <c r="CZ26">
        <f>SUM(AD26:AO26)</f>
        <v>0</v>
      </c>
      <c r="DA26">
        <f>SUM(AP26:BA26)</f>
        <v>2145.06</v>
      </c>
      <c r="DB26">
        <f>SUM(BB26:BM26)</f>
        <v>3490.34</v>
      </c>
      <c r="DC26">
        <f>SUM(BN26:BY26)</f>
        <v>510.18</v>
      </c>
      <c r="DD26">
        <f>SUM(BZ26:CK26)</f>
        <v>0</v>
      </c>
      <c r="DE26">
        <f>SUM(CL26:CW26)</f>
        <v>0</v>
      </c>
      <c r="DF26">
        <f>SUM(F26:CW26)</f>
        <v>6145.58</v>
      </c>
    </row>
    <row r="27" spans="1:110"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c r="CX27">
        <f>SUM(F27:Q27)</f>
        <v>0</v>
      </c>
      <c r="CY27">
        <f>SUM(R27:AC27)</f>
        <v>0</v>
      </c>
      <c r="CZ27">
        <f>SUM(AD27:AO27)</f>
        <v>0</v>
      </c>
      <c r="DA27">
        <f>SUM(AP27:BA27)</f>
        <v>0</v>
      </c>
      <c r="DB27">
        <f>SUM(BB27:BM27)</f>
        <v>0</v>
      </c>
      <c r="DC27">
        <f>SUM(BN27:BY27)</f>
        <v>0</v>
      </c>
      <c r="DD27">
        <f>SUM(BZ27:CK27)</f>
        <v>0</v>
      </c>
      <c r="DE27">
        <f>SUM(CL27:CW27)</f>
        <v>1033.53</v>
      </c>
      <c r="DF27">
        <f>SUM(F27:CW27)</f>
        <v>1033.53</v>
      </c>
    </row>
    <row r="28" spans="1:110"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c r="CX28">
        <f>SUM(F28:Q28)</f>
        <v>0</v>
      </c>
      <c r="CY28">
        <f>SUM(R28:AC28)</f>
        <v>0</v>
      </c>
      <c r="CZ28">
        <f>SUM(AD28:AO28)</f>
        <v>0</v>
      </c>
      <c r="DA28">
        <f>SUM(AP28:BA28)</f>
        <v>0</v>
      </c>
      <c r="DB28">
        <f>SUM(BB28:BM28)</f>
        <v>0</v>
      </c>
      <c r="DC28">
        <f>SUM(BN28:BY28)</f>
        <v>0</v>
      </c>
      <c r="DD28">
        <f>SUM(BZ28:CK28)</f>
        <v>0</v>
      </c>
      <c r="DE28">
        <f>SUM(CL28:CW28)</f>
        <v>1536.21</v>
      </c>
      <c r="DF28">
        <f>SUM(F28:CW28)</f>
        <v>1536.21</v>
      </c>
    </row>
    <row r="29" spans="1:110"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c r="CX29">
        <f>SUM(F29:Q29)</f>
        <v>0</v>
      </c>
      <c r="CY29">
        <f>SUM(R29:AC29)</f>
        <v>0</v>
      </c>
      <c r="CZ29">
        <f>SUM(AD29:AO29)</f>
        <v>0</v>
      </c>
      <c r="DA29">
        <f>SUM(AP29:BA29)</f>
        <v>0</v>
      </c>
      <c r="DB29">
        <f>SUM(BB29:BM29)</f>
        <v>0</v>
      </c>
      <c r="DC29">
        <f>SUM(BN29:BY29)</f>
        <v>14886.54</v>
      </c>
      <c r="DD29">
        <f>SUM(BZ29:CK29)</f>
        <v>0</v>
      </c>
      <c r="DE29">
        <f>SUM(CL29:CW29)</f>
        <v>0</v>
      </c>
      <c r="DF29">
        <f>SUM(F29:CW29)</f>
        <v>14886.54</v>
      </c>
    </row>
    <row r="30" spans="1:110"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c r="CX30">
        <f>SUM(F30:Q30)</f>
        <v>0</v>
      </c>
      <c r="CY30">
        <f>SUM(R30:AC30)</f>
        <v>0</v>
      </c>
      <c r="CZ30">
        <f>SUM(AD30:AO30)</f>
        <v>0</v>
      </c>
      <c r="DA30">
        <f>SUM(AP30:BA30)</f>
        <v>0</v>
      </c>
      <c r="DB30">
        <f>SUM(BB30:BM30)</f>
        <v>0</v>
      </c>
      <c r="DC30">
        <f>SUM(BN30:BY30)</f>
        <v>0</v>
      </c>
      <c r="DD30">
        <f>SUM(BZ30:CK30)</f>
        <v>0</v>
      </c>
      <c r="DE30">
        <f>SUM(CL30:CW30)</f>
        <v>12723.42</v>
      </c>
      <c r="DF30">
        <f>SUM(F30:CW30)</f>
        <v>12723.42</v>
      </c>
    </row>
    <row r="31" spans="1:110"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c r="CX31">
        <f>SUM(F31:Q31)</f>
        <v>0</v>
      </c>
      <c r="CY31">
        <f>SUM(R31:AC31)</f>
        <v>0</v>
      </c>
      <c r="CZ31">
        <f>SUM(AD31:AO31)</f>
        <v>8157.8099999999995</v>
      </c>
      <c r="DA31">
        <f>SUM(AP31:BA31)</f>
        <v>2903.23</v>
      </c>
      <c r="DB31">
        <f>SUM(BB31:BM31)</f>
        <v>0</v>
      </c>
      <c r="DC31">
        <f>SUM(BN31:BY31)</f>
        <v>0</v>
      </c>
      <c r="DD31">
        <f>SUM(BZ31:CK31)</f>
        <v>0</v>
      </c>
      <c r="DE31">
        <f>SUM(CL31:CW31)</f>
        <v>0</v>
      </c>
      <c r="DF31">
        <f>SUM(F31:CW31)</f>
        <v>11061.039999999999</v>
      </c>
    </row>
    <row r="32" spans="1:110"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c r="CX32">
        <f>SUM(F32:Q32)</f>
        <v>0</v>
      </c>
      <c r="CY32">
        <f>SUM(R32:AC32)</f>
        <v>0</v>
      </c>
      <c r="CZ32">
        <f>SUM(AD32:AO32)</f>
        <v>0</v>
      </c>
      <c r="DA32">
        <f>SUM(AP32:BA32)</f>
        <v>0</v>
      </c>
      <c r="DB32">
        <f>SUM(BB32:BM32)</f>
        <v>0</v>
      </c>
      <c r="DC32">
        <f>SUM(BN32:BY32)</f>
        <v>0</v>
      </c>
      <c r="DD32">
        <f>SUM(BZ32:CK32)</f>
        <v>623.87</v>
      </c>
      <c r="DE32">
        <f>SUM(CL32:CW32)</f>
        <v>1745.73</v>
      </c>
      <c r="DF32">
        <f>SUM(F32:CW32)</f>
        <v>2369.6</v>
      </c>
    </row>
    <row r="33" spans="1:110"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c r="CX33">
        <f>SUM(F33:Q33)</f>
        <v>0</v>
      </c>
      <c r="CY33">
        <f>SUM(R33:AC33)</f>
        <v>0</v>
      </c>
      <c r="CZ33">
        <f>SUM(AD33:AO33)</f>
        <v>0</v>
      </c>
      <c r="DA33">
        <f>SUM(AP33:BA33)</f>
        <v>4336.05</v>
      </c>
      <c r="DB33">
        <f>SUM(BB33:BM33)</f>
        <v>0</v>
      </c>
      <c r="DC33">
        <f>SUM(BN33:BY33)</f>
        <v>0</v>
      </c>
      <c r="DD33">
        <f>SUM(BZ33:CK33)</f>
        <v>0</v>
      </c>
      <c r="DE33">
        <f>SUM(CL33:CW33)</f>
        <v>0</v>
      </c>
      <c r="DF33">
        <f>SUM(F33:CW33)</f>
        <v>4336.05</v>
      </c>
    </row>
    <row r="34" spans="1:110"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c r="CX34">
        <f>SUM(F34:Q34)</f>
        <v>0</v>
      </c>
      <c r="CY34">
        <f>SUM(R34:AC34)</f>
        <v>0</v>
      </c>
      <c r="CZ34">
        <f>SUM(AD34:AO34)</f>
        <v>0</v>
      </c>
      <c r="DA34">
        <f>SUM(AP34:BA34)</f>
        <v>0</v>
      </c>
      <c r="DB34">
        <f>SUM(BB34:BM34)</f>
        <v>0</v>
      </c>
      <c r="DC34">
        <f>SUM(BN34:BY34)</f>
        <v>8006.9800000000005</v>
      </c>
      <c r="DD34">
        <f>SUM(BZ34:CK34)</f>
        <v>0</v>
      </c>
      <c r="DE34">
        <f>SUM(CL34:CW34)</f>
        <v>0</v>
      </c>
      <c r="DF34">
        <f>SUM(F34:CW34)</f>
        <v>8006.9800000000005</v>
      </c>
    </row>
    <row r="35" spans="1:110"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c r="CX35">
        <f>SUM(F35:Q35)</f>
        <v>0</v>
      </c>
      <c r="CY35">
        <f>SUM(R35:AC35)</f>
        <v>0</v>
      </c>
      <c r="CZ35">
        <f>SUM(AD35:AO35)</f>
        <v>0</v>
      </c>
      <c r="DA35">
        <f>SUM(AP35:BA35)</f>
        <v>0</v>
      </c>
      <c r="DB35">
        <f>SUM(BB35:BM35)</f>
        <v>0</v>
      </c>
      <c r="DC35">
        <f>SUM(BN35:BY35)</f>
        <v>0</v>
      </c>
      <c r="DD35">
        <f>SUM(BZ35:CK35)</f>
        <v>5894.31</v>
      </c>
      <c r="DE35">
        <f>SUM(CL35:CW35)</f>
        <v>0</v>
      </c>
      <c r="DF35">
        <f>SUM(F35:CW35)</f>
        <v>5894.31</v>
      </c>
    </row>
    <row r="36" spans="1:110"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c r="CX36">
        <f>SUM(F36:Q36)</f>
        <v>0</v>
      </c>
      <c r="CY36">
        <f>SUM(R36:AC36)</f>
        <v>5727.47</v>
      </c>
      <c r="CZ36">
        <f>SUM(AD36:AO36)</f>
        <v>0</v>
      </c>
      <c r="DA36">
        <f>SUM(AP36:BA36)</f>
        <v>0</v>
      </c>
      <c r="DB36">
        <f>SUM(BB36:BM36)</f>
        <v>0</v>
      </c>
      <c r="DC36">
        <f>SUM(BN36:BY36)</f>
        <v>0</v>
      </c>
      <c r="DD36">
        <f>SUM(BZ36:CK36)</f>
        <v>0</v>
      </c>
      <c r="DE36">
        <f>SUM(CL36:CW36)</f>
        <v>0</v>
      </c>
      <c r="DF36">
        <f>SUM(F36:CW36)</f>
        <v>5727.47</v>
      </c>
    </row>
    <row r="37" spans="1:110"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c r="CX37">
        <f>SUM(F37:Q37)</f>
        <v>0</v>
      </c>
      <c r="CY37">
        <f>SUM(R37:AC37)</f>
        <v>0</v>
      </c>
      <c r="CZ37">
        <f>SUM(AD37:AO37)</f>
        <v>0</v>
      </c>
      <c r="DA37">
        <f>SUM(AP37:BA37)</f>
        <v>0</v>
      </c>
      <c r="DB37">
        <f>SUM(BB37:BM37)</f>
        <v>0</v>
      </c>
      <c r="DC37">
        <f>SUM(BN37:BY37)</f>
        <v>0</v>
      </c>
      <c r="DD37">
        <f>SUM(BZ37:CK37)</f>
        <v>0</v>
      </c>
      <c r="DE37">
        <f>SUM(CL37:CW37)</f>
        <v>6448.75</v>
      </c>
      <c r="DF37">
        <f>SUM(F37:CW37)</f>
        <v>6448.75</v>
      </c>
    </row>
    <row r="38" spans="1:110"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c r="CX38">
        <f>SUM(F38:Q38)</f>
        <v>0</v>
      </c>
      <c r="CY38">
        <f>SUM(R38:AC38)</f>
        <v>0</v>
      </c>
      <c r="CZ38">
        <f>SUM(AD38:AO38)</f>
        <v>0</v>
      </c>
      <c r="DA38">
        <f>SUM(AP38:BA38)</f>
        <v>0</v>
      </c>
      <c r="DB38">
        <f>SUM(BB38:BM38)</f>
        <v>9124.7999999999993</v>
      </c>
      <c r="DC38">
        <f>SUM(BN38:BY38)</f>
        <v>0</v>
      </c>
      <c r="DD38">
        <f>SUM(BZ38:CK38)</f>
        <v>0</v>
      </c>
      <c r="DE38">
        <f>SUM(CL38:CW38)</f>
        <v>0</v>
      </c>
      <c r="DF38">
        <f>SUM(F38:CW38)</f>
        <v>9124.7999999999993</v>
      </c>
    </row>
    <row r="39" spans="1:110"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c r="CX39">
        <f>SUM(F39:Q39)</f>
        <v>0</v>
      </c>
      <c r="CY39">
        <f>SUM(R39:AC39)</f>
        <v>0</v>
      </c>
      <c r="CZ39">
        <f>SUM(AD39:AO39)</f>
        <v>0</v>
      </c>
      <c r="DA39">
        <f>SUM(AP39:BA39)</f>
        <v>0</v>
      </c>
      <c r="DB39">
        <f>SUM(BB39:BM39)</f>
        <v>0</v>
      </c>
      <c r="DC39">
        <f>SUM(BN39:BY39)</f>
        <v>0</v>
      </c>
      <c r="DD39">
        <f>SUM(BZ39:CK39)</f>
        <v>5120.18</v>
      </c>
      <c r="DE39">
        <f>SUM(CL39:CW39)</f>
        <v>8299.36</v>
      </c>
      <c r="DF39">
        <f>SUM(F39:CW39)</f>
        <v>13419.54</v>
      </c>
    </row>
    <row r="40" spans="1:110"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c r="CX40">
        <f>SUM(F40:Q40)</f>
        <v>0</v>
      </c>
      <c r="CY40">
        <f>SUM(R40:AC40)</f>
        <v>0</v>
      </c>
      <c r="CZ40">
        <f>SUM(AD40:AO40)</f>
        <v>0</v>
      </c>
      <c r="DA40">
        <f>SUM(AP40:BA40)</f>
        <v>0</v>
      </c>
      <c r="DB40">
        <f>SUM(BB40:BM40)</f>
        <v>0</v>
      </c>
      <c r="DC40">
        <f>SUM(BN40:BY40)</f>
        <v>1034.0999999999999</v>
      </c>
      <c r="DD40">
        <f>SUM(BZ40:CK40)</f>
        <v>9006.5499999999993</v>
      </c>
      <c r="DE40">
        <f>SUM(CL40:CW40)</f>
        <v>4409.6400000000003</v>
      </c>
      <c r="DF40">
        <f>SUM(F40:CW40)</f>
        <v>14450.29</v>
      </c>
    </row>
    <row r="41" spans="1:110"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c r="CX41">
        <f>SUM(F41:Q41)</f>
        <v>0</v>
      </c>
      <c r="CY41">
        <f>SUM(R41:AC41)</f>
        <v>0</v>
      </c>
      <c r="CZ41">
        <f>SUM(AD41:AO41)</f>
        <v>0</v>
      </c>
      <c r="DA41">
        <f>SUM(AP41:BA41)</f>
        <v>0</v>
      </c>
      <c r="DB41">
        <f>SUM(BB41:BM41)</f>
        <v>0</v>
      </c>
      <c r="DC41">
        <f>SUM(BN41:BY41)</f>
        <v>2955.76</v>
      </c>
      <c r="DD41">
        <f>SUM(BZ41:CK41)</f>
        <v>0</v>
      </c>
      <c r="DE41">
        <f>SUM(CL41:CW41)</f>
        <v>0</v>
      </c>
      <c r="DF41">
        <f>SUM(F41:CW41)</f>
        <v>2955.76</v>
      </c>
    </row>
    <row r="42" spans="1:110"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c r="CX42">
        <f>SUM(F42:Q42)</f>
        <v>0</v>
      </c>
      <c r="CY42">
        <f>SUM(R42:AC42)</f>
        <v>0</v>
      </c>
      <c r="CZ42">
        <f>SUM(AD42:AO42)</f>
        <v>0</v>
      </c>
      <c r="DA42">
        <f>SUM(AP42:BA42)</f>
        <v>3930.94</v>
      </c>
      <c r="DB42">
        <f>SUM(BB42:BM42)</f>
        <v>0</v>
      </c>
      <c r="DC42">
        <f>SUM(BN42:BY42)</f>
        <v>0</v>
      </c>
      <c r="DD42">
        <f>SUM(BZ42:CK42)</f>
        <v>0</v>
      </c>
      <c r="DE42">
        <f>SUM(CL42:CW42)</f>
        <v>0</v>
      </c>
      <c r="DF42">
        <f>SUM(F42:CW42)</f>
        <v>3930.94</v>
      </c>
    </row>
    <row r="43" spans="1:110"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c r="CX43">
        <f>SUM(F43:Q43)</f>
        <v>0</v>
      </c>
      <c r="CY43">
        <f>SUM(R43:AC43)</f>
        <v>0</v>
      </c>
      <c r="CZ43">
        <f>SUM(AD43:AO43)</f>
        <v>0</v>
      </c>
      <c r="DA43">
        <f>SUM(AP43:BA43)</f>
        <v>0</v>
      </c>
      <c r="DB43">
        <f>SUM(BB43:BM43)</f>
        <v>9729.61</v>
      </c>
      <c r="DC43">
        <f>SUM(BN43:BY43)</f>
        <v>4599.6099999999997</v>
      </c>
      <c r="DD43">
        <f>SUM(BZ43:CK43)</f>
        <v>386.66</v>
      </c>
      <c r="DE43">
        <f>SUM(CL43:CW43)</f>
        <v>0</v>
      </c>
      <c r="DF43">
        <f>SUM(F43:CW43)</f>
        <v>14715.880000000001</v>
      </c>
    </row>
    <row r="44" spans="1:110"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c r="CX44">
        <f>SUM(F44:Q44)</f>
        <v>0</v>
      </c>
      <c r="CY44">
        <f>SUM(R44:AC44)</f>
        <v>2285.81</v>
      </c>
      <c r="CZ44">
        <f>SUM(AD44:AO44)</f>
        <v>0</v>
      </c>
      <c r="DA44">
        <f>SUM(AP44:BA44)</f>
        <v>0</v>
      </c>
      <c r="DB44">
        <f>SUM(BB44:BM44)</f>
        <v>0</v>
      </c>
      <c r="DC44">
        <f>SUM(BN44:BY44)</f>
        <v>0</v>
      </c>
      <c r="DD44">
        <f>SUM(BZ44:CK44)</f>
        <v>0</v>
      </c>
      <c r="DE44">
        <f>SUM(CL44:CW44)</f>
        <v>0</v>
      </c>
      <c r="DF44">
        <f>SUM(F44:CW44)</f>
        <v>2285.81</v>
      </c>
    </row>
    <row r="45" spans="1:110"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c r="CX45">
        <f>SUM(F45:Q45)</f>
        <v>0</v>
      </c>
      <c r="CY45">
        <f>SUM(R45:AC45)</f>
        <v>0</v>
      </c>
      <c r="CZ45">
        <f>SUM(AD45:AO45)</f>
        <v>0</v>
      </c>
      <c r="DA45">
        <f>SUM(AP45:BA45)</f>
        <v>0</v>
      </c>
      <c r="DB45">
        <f>SUM(BB45:BM45)</f>
        <v>1936.05</v>
      </c>
      <c r="DC45">
        <f>SUM(BN45:BY45)</f>
        <v>10062.619999999999</v>
      </c>
      <c r="DD45">
        <f>SUM(BZ45:CK45)</f>
        <v>0</v>
      </c>
      <c r="DE45">
        <f>SUM(CL45:CW45)</f>
        <v>0</v>
      </c>
      <c r="DF45">
        <f>SUM(F45:CW45)</f>
        <v>11998.67</v>
      </c>
    </row>
    <row r="46" spans="1:110"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c r="CX46">
        <f>SUM(F46:Q46)</f>
        <v>0</v>
      </c>
      <c r="CY46">
        <f>SUM(R46:AC46)</f>
        <v>0</v>
      </c>
      <c r="CZ46">
        <f>SUM(AD46:AO46)</f>
        <v>0</v>
      </c>
      <c r="DA46">
        <f>SUM(AP46:BA46)</f>
        <v>0</v>
      </c>
      <c r="DB46">
        <f>SUM(BB46:BM46)</f>
        <v>0</v>
      </c>
      <c r="DC46">
        <f>SUM(BN46:BY46)</f>
        <v>0</v>
      </c>
      <c r="DD46">
        <f>SUM(BZ46:CK46)</f>
        <v>2035.5</v>
      </c>
      <c r="DE46">
        <f>SUM(CL46:CW46)</f>
        <v>7045.85</v>
      </c>
      <c r="DF46">
        <f>SUM(F46:CW46)</f>
        <v>9081.35</v>
      </c>
    </row>
    <row r="47" spans="1:110"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c r="CX47">
        <f>SUM(F47:Q47)</f>
        <v>0</v>
      </c>
      <c r="CY47">
        <f>SUM(R47:AC47)</f>
        <v>0</v>
      </c>
      <c r="CZ47">
        <f>SUM(AD47:AO47)</f>
        <v>0</v>
      </c>
      <c r="DA47">
        <f>SUM(AP47:BA47)</f>
        <v>0</v>
      </c>
      <c r="DB47">
        <f>SUM(BB47:BM47)</f>
        <v>0</v>
      </c>
      <c r="DC47">
        <f>SUM(BN47:BY47)</f>
        <v>12123.41</v>
      </c>
      <c r="DD47">
        <f>SUM(BZ47:CK47)</f>
        <v>0</v>
      </c>
      <c r="DE47">
        <f>SUM(CL47:CW47)</f>
        <v>0</v>
      </c>
      <c r="DF47">
        <f>SUM(F47:CW47)</f>
        <v>12123.41</v>
      </c>
    </row>
    <row r="48" spans="1:110"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c r="CX48">
        <f>SUM(F48:Q48)</f>
        <v>0</v>
      </c>
      <c r="CY48">
        <f>SUM(R48:AC48)</f>
        <v>0</v>
      </c>
      <c r="CZ48">
        <f>SUM(AD48:AO48)</f>
        <v>525.66000000000008</v>
      </c>
      <c r="DA48">
        <f>SUM(AP48:BA48)</f>
        <v>1485.9</v>
      </c>
      <c r="DB48">
        <f>SUM(BB48:BM48)</f>
        <v>686.55</v>
      </c>
      <c r="DC48">
        <f>SUM(BN48:BY48)</f>
        <v>0</v>
      </c>
      <c r="DD48">
        <f>SUM(BZ48:CK48)</f>
        <v>0</v>
      </c>
      <c r="DE48">
        <f>SUM(CL48:CW48)</f>
        <v>0</v>
      </c>
      <c r="DF48">
        <f>SUM(F48:CW48)</f>
        <v>2698.1099999999997</v>
      </c>
    </row>
    <row r="49" spans="1:110"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c r="CX49">
        <f>SUM(F49:Q49)</f>
        <v>0</v>
      </c>
      <c r="CY49">
        <f>SUM(R49:AC49)</f>
        <v>0</v>
      </c>
      <c r="CZ49">
        <f>SUM(AD49:AO49)</f>
        <v>0</v>
      </c>
      <c r="DA49">
        <f>SUM(AP49:BA49)</f>
        <v>0</v>
      </c>
      <c r="DB49">
        <f>SUM(BB49:BM49)</f>
        <v>0</v>
      </c>
      <c r="DC49">
        <f>SUM(BN49:BY49)</f>
        <v>204.44</v>
      </c>
      <c r="DD49">
        <f>SUM(BZ49:CK49)</f>
        <v>879.90000000000009</v>
      </c>
      <c r="DE49">
        <f>SUM(CL49:CW49)</f>
        <v>732.67</v>
      </c>
      <c r="DF49">
        <f>SUM(F49:CW49)</f>
        <v>1817.0099999999998</v>
      </c>
    </row>
    <row r="50" spans="1:110"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c r="CX50">
        <f>SUM(F50:Q50)</f>
        <v>0</v>
      </c>
      <c r="CY50">
        <f>SUM(R50:AC50)</f>
        <v>7836.54</v>
      </c>
      <c r="CZ50">
        <f>SUM(AD50:AO50)</f>
        <v>983.83</v>
      </c>
      <c r="DA50">
        <f>SUM(AP50:BA50)</f>
        <v>0</v>
      </c>
      <c r="DB50">
        <f>SUM(BB50:BM50)</f>
        <v>0</v>
      </c>
      <c r="DC50">
        <f>SUM(BN50:BY50)</f>
        <v>0</v>
      </c>
      <c r="DD50">
        <f>SUM(BZ50:CK50)</f>
        <v>0</v>
      </c>
      <c r="DE50">
        <f>SUM(CL50:CW50)</f>
        <v>0</v>
      </c>
      <c r="DF50">
        <f>SUM(F50:CW50)</f>
        <v>8820.3700000000008</v>
      </c>
    </row>
    <row r="51" spans="1:110"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c r="CX51">
        <f>SUM(F51:Q51)</f>
        <v>0</v>
      </c>
      <c r="CY51">
        <f>SUM(R51:AC51)</f>
        <v>0</v>
      </c>
      <c r="CZ51">
        <f>SUM(AD51:AO51)</f>
        <v>0</v>
      </c>
      <c r="DA51">
        <f>SUM(AP51:BA51)</f>
        <v>0</v>
      </c>
      <c r="DB51">
        <f>SUM(BB51:BM51)</f>
        <v>0</v>
      </c>
      <c r="DC51">
        <f>SUM(BN51:BY51)</f>
        <v>11357.45</v>
      </c>
      <c r="DD51">
        <f>SUM(BZ51:CK51)</f>
        <v>9513.66</v>
      </c>
      <c r="DE51">
        <f>SUM(CL51:CW51)</f>
        <v>1747.78</v>
      </c>
      <c r="DF51">
        <f>SUM(F51:CW51)</f>
        <v>22618.89</v>
      </c>
    </row>
    <row r="52" spans="1:110"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c r="CX52">
        <f>SUM(F52:Q52)</f>
        <v>0</v>
      </c>
      <c r="CY52">
        <f>SUM(R52:AC52)</f>
        <v>0</v>
      </c>
      <c r="CZ52">
        <f>SUM(AD52:AO52)</f>
        <v>0</v>
      </c>
      <c r="DA52">
        <f>SUM(AP52:BA52)</f>
        <v>7168.03</v>
      </c>
      <c r="DB52">
        <f>SUM(BB52:BM52)</f>
        <v>0</v>
      </c>
      <c r="DC52">
        <f>SUM(BN52:BY52)</f>
        <v>0</v>
      </c>
      <c r="DD52">
        <f>SUM(BZ52:CK52)</f>
        <v>0</v>
      </c>
      <c r="DE52">
        <f>SUM(CL52:CW52)</f>
        <v>0</v>
      </c>
      <c r="DF52">
        <f>SUM(F52:CW52)</f>
        <v>7168.03</v>
      </c>
    </row>
    <row r="53" spans="1:110"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c r="CX53">
        <f>SUM(F53:Q53)</f>
        <v>0</v>
      </c>
      <c r="CY53">
        <f>SUM(R53:AC53)</f>
        <v>0</v>
      </c>
      <c r="CZ53">
        <f>SUM(AD53:AO53)</f>
        <v>0</v>
      </c>
      <c r="DA53">
        <f>SUM(AP53:BA53)</f>
        <v>0</v>
      </c>
      <c r="DB53">
        <f>SUM(BB53:BM53)</f>
        <v>0</v>
      </c>
      <c r="DC53">
        <f>SUM(BN53:BY53)</f>
        <v>1487.14</v>
      </c>
      <c r="DD53">
        <f>SUM(BZ53:CK53)</f>
        <v>8950.0400000000009</v>
      </c>
      <c r="DE53">
        <f>SUM(CL53:CW53)</f>
        <v>0</v>
      </c>
      <c r="DF53">
        <f>SUM(F53:CW53)</f>
        <v>10437.18</v>
      </c>
    </row>
    <row r="54" spans="1:110"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c r="CX54">
        <f>SUM(F54:Q54)</f>
        <v>0</v>
      </c>
      <c r="CY54">
        <f>SUM(R54:AC54)</f>
        <v>0</v>
      </c>
      <c r="CZ54">
        <f>SUM(AD54:AO54)</f>
        <v>8980.59</v>
      </c>
      <c r="DA54">
        <f>SUM(AP54:BA54)</f>
        <v>1017.52</v>
      </c>
      <c r="DB54">
        <f>SUM(BB54:BM54)</f>
        <v>0</v>
      </c>
      <c r="DC54">
        <f>SUM(BN54:BY54)</f>
        <v>0</v>
      </c>
      <c r="DD54">
        <f>SUM(BZ54:CK54)</f>
        <v>0</v>
      </c>
      <c r="DE54">
        <f>SUM(CL54:CW54)</f>
        <v>0</v>
      </c>
      <c r="DF54">
        <f>SUM(F54:CW54)</f>
        <v>9998.11</v>
      </c>
    </row>
    <row r="55" spans="1:110"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c r="CX55">
        <f>SUM(F55:Q55)</f>
        <v>0</v>
      </c>
      <c r="CY55">
        <f>SUM(R55:AC55)</f>
        <v>0</v>
      </c>
      <c r="CZ55">
        <f>SUM(AD55:AO55)</f>
        <v>0</v>
      </c>
      <c r="DA55">
        <f>SUM(AP55:BA55)</f>
        <v>801.14</v>
      </c>
      <c r="DB55">
        <f>SUM(BB55:BM55)</f>
        <v>0</v>
      </c>
      <c r="DC55">
        <f>SUM(BN55:BY55)</f>
        <v>0</v>
      </c>
      <c r="DD55">
        <f>SUM(BZ55:CK55)</f>
        <v>0</v>
      </c>
      <c r="DE55">
        <f>SUM(CL55:CW55)</f>
        <v>0</v>
      </c>
      <c r="DF55">
        <f>SUM(F55:CW55)</f>
        <v>801.14</v>
      </c>
    </row>
    <row r="56" spans="1:110"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c r="CX56">
        <f>SUM(F56:Q56)</f>
        <v>0</v>
      </c>
      <c r="CY56">
        <f>SUM(R56:AC56)</f>
        <v>0</v>
      </c>
      <c r="CZ56">
        <f>SUM(AD56:AO56)</f>
        <v>0</v>
      </c>
      <c r="DA56">
        <f>SUM(AP56:BA56)</f>
        <v>2406.63</v>
      </c>
      <c r="DB56">
        <f>SUM(BB56:BM56)</f>
        <v>10352.259999999998</v>
      </c>
      <c r="DC56">
        <f>SUM(BN56:BY56)</f>
        <v>0</v>
      </c>
      <c r="DD56">
        <f>SUM(BZ56:CK56)</f>
        <v>0</v>
      </c>
      <c r="DE56">
        <f>SUM(CL56:CW56)</f>
        <v>0</v>
      </c>
      <c r="DF56">
        <f>SUM(F56:CW56)</f>
        <v>12758.89</v>
      </c>
    </row>
    <row r="57" spans="1:110"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c r="CX57">
        <f>SUM(F57:Q57)</f>
        <v>0</v>
      </c>
      <c r="CY57">
        <f>SUM(R57:AC57)</f>
        <v>0</v>
      </c>
      <c r="CZ57">
        <f>SUM(AD57:AO57)</f>
        <v>0</v>
      </c>
      <c r="DA57">
        <f>SUM(AP57:BA57)</f>
        <v>0</v>
      </c>
      <c r="DB57">
        <f>SUM(BB57:BM57)</f>
        <v>0</v>
      </c>
      <c r="DC57">
        <f>SUM(BN57:BY57)</f>
        <v>4085.9700000000003</v>
      </c>
      <c r="DD57">
        <f>SUM(BZ57:CK57)</f>
        <v>8053.26</v>
      </c>
      <c r="DE57">
        <f>SUM(CL57:CW57)</f>
        <v>533.46</v>
      </c>
      <c r="DF57">
        <f>SUM(F57:CW57)</f>
        <v>12672.690000000002</v>
      </c>
    </row>
    <row r="58" spans="1:110"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c r="CX58">
        <f>SUM(F58:Q58)</f>
        <v>0</v>
      </c>
      <c r="CY58">
        <f>SUM(R58:AC58)</f>
        <v>951.13000000000011</v>
      </c>
      <c r="CZ58">
        <f>SUM(AD58:AO58)</f>
        <v>794.03</v>
      </c>
      <c r="DA58">
        <f>SUM(AP58:BA58)</f>
        <v>0</v>
      </c>
      <c r="DB58">
        <f>SUM(BB58:BM58)</f>
        <v>0</v>
      </c>
      <c r="DC58">
        <f>SUM(BN58:BY58)</f>
        <v>0</v>
      </c>
      <c r="DD58">
        <f>SUM(BZ58:CK58)</f>
        <v>0</v>
      </c>
      <c r="DE58">
        <f>SUM(CL58:CW58)</f>
        <v>0</v>
      </c>
      <c r="DF58">
        <f>SUM(F58:CW58)</f>
        <v>1745.16</v>
      </c>
    </row>
    <row r="59" spans="1:110"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c r="CX59">
        <f>SUM(F59:Q59)</f>
        <v>0</v>
      </c>
      <c r="CY59">
        <f>SUM(R59:AC59)</f>
        <v>0</v>
      </c>
      <c r="CZ59">
        <f>SUM(AD59:AO59)</f>
        <v>0</v>
      </c>
      <c r="DA59">
        <f>SUM(AP59:BA59)</f>
        <v>5975.53</v>
      </c>
      <c r="DB59">
        <f>SUM(BB59:BM59)</f>
        <v>8769.08</v>
      </c>
      <c r="DC59">
        <f>SUM(BN59:BY59)</f>
        <v>1695.78</v>
      </c>
      <c r="DD59">
        <f>SUM(BZ59:CK59)</f>
        <v>0</v>
      </c>
      <c r="DE59">
        <f>SUM(CL59:CW59)</f>
        <v>0</v>
      </c>
      <c r="DF59">
        <f>SUM(F59:CW59)</f>
        <v>16440.39</v>
      </c>
    </row>
    <row r="60" spans="1:110"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c r="CX60">
        <f>SUM(F60:Q60)</f>
        <v>0</v>
      </c>
      <c r="CY60">
        <f>SUM(R60:AC60)</f>
        <v>0</v>
      </c>
      <c r="CZ60">
        <f>SUM(AD60:AO60)</f>
        <v>927.03</v>
      </c>
      <c r="DA60">
        <f>SUM(AP60:BA60)</f>
        <v>6697.27</v>
      </c>
      <c r="DB60">
        <f>SUM(BB60:BM60)</f>
        <v>0</v>
      </c>
      <c r="DC60">
        <f>SUM(BN60:BY60)</f>
        <v>0</v>
      </c>
      <c r="DD60">
        <f>SUM(BZ60:CK60)</f>
        <v>0</v>
      </c>
      <c r="DE60">
        <f>SUM(CL60:CW60)</f>
        <v>0</v>
      </c>
      <c r="DF60">
        <f>SUM(F60:CW60)</f>
        <v>7624.2999999999993</v>
      </c>
    </row>
    <row r="61" spans="1:110"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c r="CX61">
        <f>SUM(F61:Q61)</f>
        <v>0</v>
      </c>
      <c r="CY61">
        <f>SUM(R61:AC61)</f>
        <v>0</v>
      </c>
      <c r="CZ61">
        <f>SUM(AD61:AO61)</f>
        <v>0</v>
      </c>
      <c r="DA61">
        <f>SUM(AP61:BA61)</f>
        <v>0</v>
      </c>
      <c r="DB61">
        <f>SUM(BB61:BM61)</f>
        <v>0</v>
      </c>
      <c r="DC61">
        <f>SUM(BN61:BY61)</f>
        <v>3177.75</v>
      </c>
      <c r="DD61">
        <f>SUM(BZ61:CK61)</f>
        <v>0</v>
      </c>
      <c r="DE61">
        <f>SUM(CL61:CW61)</f>
        <v>0</v>
      </c>
      <c r="DF61">
        <f>SUM(F61:CW61)</f>
        <v>3177.75</v>
      </c>
    </row>
    <row r="62" spans="1:110"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c r="CX62">
        <f>SUM(F62:Q62)</f>
        <v>0</v>
      </c>
      <c r="CY62">
        <f>SUM(R62:AC62)</f>
        <v>3448.27</v>
      </c>
      <c r="CZ62">
        <f>SUM(AD62:AO62)</f>
        <v>0</v>
      </c>
      <c r="DA62">
        <f>SUM(AP62:BA62)</f>
        <v>0</v>
      </c>
      <c r="DB62">
        <f>SUM(BB62:BM62)</f>
        <v>0</v>
      </c>
      <c r="DC62">
        <f>SUM(BN62:BY62)</f>
        <v>0</v>
      </c>
      <c r="DD62">
        <f>SUM(BZ62:CK62)</f>
        <v>0</v>
      </c>
      <c r="DE62">
        <f>SUM(CL62:CW62)</f>
        <v>0</v>
      </c>
      <c r="DF62">
        <f>SUM(F62:CW62)</f>
        <v>3448.27</v>
      </c>
    </row>
    <row r="63" spans="1:110"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c r="CX63">
        <f>SUM(F63:Q63)</f>
        <v>0</v>
      </c>
      <c r="CY63">
        <f>SUM(R63:AC63)</f>
        <v>0</v>
      </c>
      <c r="CZ63">
        <f>SUM(AD63:AO63)</f>
        <v>0</v>
      </c>
      <c r="DA63">
        <f>SUM(AP63:BA63)</f>
        <v>0</v>
      </c>
      <c r="DB63">
        <f>SUM(BB63:BM63)</f>
        <v>0</v>
      </c>
      <c r="DC63">
        <f>SUM(BN63:BY63)</f>
        <v>1798.2600000000002</v>
      </c>
      <c r="DD63">
        <f>SUM(BZ63:CK63)</f>
        <v>0</v>
      </c>
      <c r="DE63">
        <f>SUM(CL63:CW63)</f>
        <v>0</v>
      </c>
      <c r="DF63">
        <f>SUM(F63:CW63)</f>
        <v>1798.2600000000002</v>
      </c>
    </row>
    <row r="64" spans="1:110"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c r="CX64">
        <f>SUM(F64:Q64)</f>
        <v>0</v>
      </c>
      <c r="CY64">
        <f>SUM(R64:AC64)</f>
        <v>0</v>
      </c>
      <c r="CZ64">
        <f>SUM(AD64:AO64)</f>
        <v>0</v>
      </c>
      <c r="DA64">
        <f>SUM(AP64:BA64)</f>
        <v>0</v>
      </c>
      <c r="DB64">
        <f>SUM(BB64:BM64)</f>
        <v>0</v>
      </c>
      <c r="DC64">
        <f>SUM(BN64:BY64)</f>
        <v>0</v>
      </c>
      <c r="DD64">
        <f>SUM(BZ64:CK64)</f>
        <v>9139.5499999999993</v>
      </c>
      <c r="DE64">
        <f>SUM(CL64:CW64)</f>
        <v>0</v>
      </c>
      <c r="DF64">
        <f>SUM(F64:CW64)</f>
        <v>9139.5499999999993</v>
      </c>
    </row>
    <row r="65" spans="1:110"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c r="CX65">
        <f>SUM(F65:Q65)</f>
        <v>0</v>
      </c>
      <c r="CY65">
        <f>SUM(R65:AC65)</f>
        <v>3835.2799999999997</v>
      </c>
      <c r="CZ65">
        <f>SUM(AD65:AO65)</f>
        <v>4537.6000000000004</v>
      </c>
      <c r="DA65">
        <f>SUM(AP65:BA65)</f>
        <v>0</v>
      </c>
      <c r="DB65">
        <f>SUM(BB65:BM65)</f>
        <v>0</v>
      </c>
      <c r="DC65">
        <f>SUM(BN65:BY65)</f>
        <v>0</v>
      </c>
      <c r="DD65">
        <f>SUM(BZ65:CK65)</f>
        <v>0</v>
      </c>
      <c r="DE65">
        <f>SUM(CL65:CW65)</f>
        <v>0</v>
      </c>
      <c r="DF65">
        <f>SUM(F65:CW65)</f>
        <v>8372.8799999999992</v>
      </c>
    </row>
    <row r="66" spans="1:110"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c r="CX66">
        <f>SUM(F66:Q66)</f>
        <v>0</v>
      </c>
      <c r="CY66">
        <f>SUM(R66:AC66)</f>
        <v>0</v>
      </c>
      <c r="CZ66">
        <f>SUM(AD66:AO66)</f>
        <v>0</v>
      </c>
      <c r="DA66">
        <f>SUM(AP66:BA66)</f>
        <v>0</v>
      </c>
      <c r="DB66">
        <f>SUM(BB66:BM66)</f>
        <v>6081.14</v>
      </c>
      <c r="DC66">
        <f>SUM(BN66:BY66)</f>
        <v>0</v>
      </c>
      <c r="DD66">
        <f>SUM(BZ66:CK66)</f>
        <v>0</v>
      </c>
      <c r="DE66">
        <f>SUM(CL66:CW66)</f>
        <v>0</v>
      </c>
      <c r="DF66">
        <f>SUM(F66:CW66)</f>
        <v>6081.14</v>
      </c>
    </row>
    <row r="67" spans="1:110"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c r="CX67">
        <f>SUM(F67:Q67)</f>
        <v>0</v>
      </c>
      <c r="CY67">
        <f>SUM(R67:AC67)</f>
        <v>0</v>
      </c>
      <c r="CZ67">
        <f>SUM(AD67:AO67)</f>
        <v>0</v>
      </c>
      <c r="DA67">
        <f>SUM(AP67:BA67)</f>
        <v>0</v>
      </c>
      <c r="DB67">
        <f>SUM(BB67:BM67)</f>
        <v>0</v>
      </c>
      <c r="DC67">
        <f>SUM(BN67:BY67)</f>
        <v>8602.3499999999985</v>
      </c>
      <c r="DD67">
        <f>SUM(BZ67:CK67)</f>
        <v>6164.1399999999994</v>
      </c>
      <c r="DE67">
        <f>SUM(CL67:CW67)</f>
        <v>0</v>
      </c>
      <c r="DF67">
        <f>SUM(F67:CW67)</f>
        <v>14766.489999999998</v>
      </c>
    </row>
    <row r="68" spans="1:110"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c r="CX68">
        <f>SUM(F68:Q68)</f>
        <v>0</v>
      </c>
      <c r="CY68">
        <f>SUM(R68:AC68)</f>
        <v>0</v>
      </c>
      <c r="CZ68">
        <f>SUM(AD68:AO68)</f>
        <v>0</v>
      </c>
      <c r="DA68">
        <f>SUM(AP68:BA68)</f>
        <v>0</v>
      </c>
      <c r="DB68">
        <f>SUM(BB68:BM68)</f>
        <v>0</v>
      </c>
      <c r="DC68">
        <f>SUM(BN68:BY68)</f>
        <v>2043.1399999999999</v>
      </c>
      <c r="DD68">
        <f>SUM(BZ68:CK68)</f>
        <v>3422.41</v>
      </c>
      <c r="DE68">
        <f>SUM(CL68:CW68)</f>
        <v>0</v>
      </c>
      <c r="DF68">
        <f>SUM(F68:CW68)</f>
        <v>5465.55</v>
      </c>
    </row>
    <row r="69" spans="1:110"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c r="CX69">
        <f>SUM(F69:Q69)</f>
        <v>0</v>
      </c>
      <c r="CY69">
        <f>SUM(R69:AC69)</f>
        <v>0</v>
      </c>
      <c r="CZ69">
        <f>SUM(AD69:AO69)</f>
        <v>0</v>
      </c>
      <c r="DA69">
        <f>SUM(AP69:BA69)</f>
        <v>3103.14</v>
      </c>
      <c r="DB69">
        <f>SUM(BB69:BM69)</f>
        <v>16745.5</v>
      </c>
      <c r="DC69">
        <f>SUM(BN69:BY69)</f>
        <v>0</v>
      </c>
      <c r="DD69">
        <f>SUM(BZ69:CK69)</f>
        <v>0</v>
      </c>
      <c r="DE69">
        <f>SUM(CL69:CW69)</f>
        <v>0</v>
      </c>
      <c r="DF69">
        <f>SUM(F69:CW69)</f>
        <v>19848.64</v>
      </c>
    </row>
    <row r="70" spans="1:110"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c r="CX70">
        <f>SUM(F70:Q70)</f>
        <v>0</v>
      </c>
      <c r="CY70">
        <f>SUM(R70:AC70)</f>
        <v>0</v>
      </c>
      <c r="CZ70">
        <f>SUM(AD70:AO70)</f>
        <v>0</v>
      </c>
      <c r="DA70">
        <f>SUM(AP70:BA70)</f>
        <v>0</v>
      </c>
      <c r="DB70">
        <f>SUM(BB70:BM70)</f>
        <v>0</v>
      </c>
      <c r="DC70">
        <f>SUM(BN70:BY70)</f>
        <v>0</v>
      </c>
      <c r="DD70">
        <f>SUM(BZ70:CK70)</f>
        <v>0</v>
      </c>
      <c r="DE70">
        <f>SUM(CL70:CW70)</f>
        <v>2375.6999999999998</v>
      </c>
      <c r="DF70">
        <f>SUM(F70:CW70)</f>
        <v>2375.6999999999998</v>
      </c>
    </row>
    <row r="71" spans="1:110"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c r="CX71">
        <f>SUM(F71:Q71)</f>
        <v>0</v>
      </c>
      <c r="CY71">
        <f>SUM(R71:AC71)</f>
        <v>0</v>
      </c>
      <c r="CZ71">
        <f>SUM(AD71:AO71)</f>
        <v>0</v>
      </c>
      <c r="DA71">
        <f>SUM(AP71:BA71)</f>
        <v>5297.3600000000006</v>
      </c>
      <c r="DB71">
        <f>SUM(BB71:BM71)</f>
        <v>312.60000000000002</v>
      </c>
      <c r="DC71">
        <f>SUM(BN71:BY71)</f>
        <v>0</v>
      </c>
      <c r="DD71">
        <f>SUM(BZ71:CK71)</f>
        <v>0</v>
      </c>
      <c r="DE71">
        <f>SUM(CL71:CW71)</f>
        <v>0</v>
      </c>
      <c r="DF71">
        <f>SUM(F71:CW71)</f>
        <v>5609.9600000000009</v>
      </c>
    </row>
    <row r="72" spans="1:110"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c r="CX72">
        <f>SUM(F72:Q72)</f>
        <v>0</v>
      </c>
      <c r="CY72">
        <f>SUM(R72:AC72)</f>
        <v>0</v>
      </c>
      <c r="CZ72">
        <f>SUM(AD72:AO72)</f>
        <v>0</v>
      </c>
      <c r="DA72">
        <f>SUM(AP72:BA72)</f>
        <v>0</v>
      </c>
      <c r="DB72">
        <f>SUM(BB72:BM72)</f>
        <v>2898.62</v>
      </c>
      <c r="DC72">
        <f>SUM(BN72:BY72)</f>
        <v>0</v>
      </c>
      <c r="DD72">
        <f>SUM(BZ72:CK72)</f>
        <v>0</v>
      </c>
      <c r="DE72">
        <f>SUM(CL72:CW72)</f>
        <v>0</v>
      </c>
      <c r="DF72">
        <f>SUM(F72:CW72)</f>
        <v>2898.62</v>
      </c>
    </row>
    <row r="73" spans="1:110"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c r="CX73">
        <f>SUM(F73:Q73)</f>
        <v>0</v>
      </c>
      <c r="CY73">
        <f>SUM(R73:AC73)</f>
        <v>0</v>
      </c>
      <c r="CZ73">
        <f>SUM(AD73:AO73)</f>
        <v>0</v>
      </c>
      <c r="DA73">
        <f>SUM(AP73:BA73)</f>
        <v>0</v>
      </c>
      <c r="DB73">
        <f>SUM(BB73:BM73)</f>
        <v>24470.91</v>
      </c>
      <c r="DC73">
        <f>SUM(BN73:BY73)</f>
        <v>0</v>
      </c>
      <c r="DD73">
        <f>SUM(BZ73:CK73)</f>
        <v>0</v>
      </c>
      <c r="DE73">
        <f>SUM(CL73:CW73)</f>
        <v>0</v>
      </c>
      <c r="DF73">
        <f>SUM(F73:CW73)</f>
        <v>24470.91</v>
      </c>
    </row>
    <row r="74" spans="1:110"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c r="CX74">
        <f>SUM(F74:Q74)</f>
        <v>0</v>
      </c>
      <c r="CY74">
        <f>SUM(R74:AC74)</f>
        <v>0</v>
      </c>
      <c r="CZ74">
        <f>SUM(AD74:AO74)</f>
        <v>0</v>
      </c>
      <c r="DA74">
        <f>SUM(AP74:BA74)</f>
        <v>0</v>
      </c>
      <c r="DB74">
        <f>SUM(BB74:BM74)</f>
        <v>1662.1</v>
      </c>
      <c r="DC74">
        <f>SUM(BN74:BY74)</f>
        <v>0</v>
      </c>
      <c r="DD74">
        <f>SUM(BZ74:CK74)</f>
        <v>0</v>
      </c>
      <c r="DE74">
        <f>SUM(CL74:CW74)</f>
        <v>0</v>
      </c>
      <c r="DF74">
        <f>SUM(F74:CW74)</f>
        <v>1662.1</v>
      </c>
    </row>
    <row r="75" spans="1:110"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c r="CX75">
        <f>SUM(F75:Q75)</f>
        <v>0</v>
      </c>
      <c r="CY75">
        <f>SUM(R75:AC75)</f>
        <v>0</v>
      </c>
      <c r="CZ75">
        <f>SUM(AD75:AO75)</f>
        <v>0</v>
      </c>
      <c r="DA75">
        <f>SUM(AP75:BA75)</f>
        <v>0</v>
      </c>
      <c r="DB75">
        <f>SUM(BB75:BM75)</f>
        <v>0</v>
      </c>
      <c r="DC75">
        <f>SUM(BN75:BY75)</f>
        <v>6212.98</v>
      </c>
      <c r="DD75">
        <f>SUM(BZ75:CK75)</f>
        <v>124266.6</v>
      </c>
      <c r="DE75">
        <f>SUM(CL75:CW75)</f>
        <v>81836.95</v>
      </c>
      <c r="DF75">
        <f>SUM(F75:CW75)</f>
        <v>212316.52999999997</v>
      </c>
    </row>
    <row r="76" spans="1:110"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c r="CX76">
        <f>SUM(F76:Q76)</f>
        <v>0</v>
      </c>
      <c r="CY76">
        <f>SUM(R76:AC76)</f>
        <v>1262.5</v>
      </c>
      <c r="CZ76">
        <f>SUM(AD76:AO76)</f>
        <v>6634.03</v>
      </c>
      <c r="DA76">
        <f>SUM(AP76:BA76)</f>
        <v>0</v>
      </c>
      <c r="DB76">
        <f>SUM(BB76:BM76)</f>
        <v>0</v>
      </c>
      <c r="DC76">
        <f>SUM(BN76:BY76)</f>
        <v>0</v>
      </c>
      <c r="DD76">
        <f>SUM(BZ76:CK76)</f>
        <v>0</v>
      </c>
      <c r="DE76">
        <f>SUM(CL76:CW76)</f>
        <v>0</v>
      </c>
      <c r="DF76">
        <f>SUM(F76:CW76)</f>
        <v>7896.53</v>
      </c>
    </row>
    <row r="77" spans="1:110"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c r="CX77">
        <f>SUM(F77:Q77)</f>
        <v>0</v>
      </c>
      <c r="CY77">
        <f>SUM(R77:AC77)</f>
        <v>0</v>
      </c>
      <c r="CZ77">
        <f>SUM(AD77:AO77)</f>
        <v>0</v>
      </c>
      <c r="DA77">
        <f>SUM(AP77:BA77)</f>
        <v>325.82</v>
      </c>
      <c r="DB77">
        <f>SUM(BB77:BM77)</f>
        <v>23929.659999999993</v>
      </c>
      <c r="DC77">
        <f>SUM(BN77:BY77)</f>
        <v>16615.009999999998</v>
      </c>
      <c r="DD77">
        <f>SUM(BZ77:CK77)</f>
        <v>0</v>
      </c>
      <c r="DE77">
        <f>SUM(CL77:CW77)</f>
        <v>0</v>
      </c>
      <c r="DF77">
        <f>SUM(F77:CW77)</f>
        <v>40870.489999999991</v>
      </c>
    </row>
    <row r="78" spans="1:110"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c r="CX78">
        <f>SUM(F78:Q78)</f>
        <v>0</v>
      </c>
      <c r="CY78">
        <f>SUM(R78:AC78)</f>
        <v>3391.01</v>
      </c>
      <c r="CZ78">
        <f>SUM(AD78:AO78)</f>
        <v>0</v>
      </c>
      <c r="DA78">
        <f>SUM(AP78:BA78)</f>
        <v>0</v>
      </c>
      <c r="DB78">
        <f>SUM(BB78:BM78)</f>
        <v>0</v>
      </c>
      <c r="DC78">
        <f>SUM(BN78:BY78)</f>
        <v>0</v>
      </c>
      <c r="DD78">
        <f>SUM(BZ78:CK78)</f>
        <v>0</v>
      </c>
      <c r="DE78">
        <f>SUM(CL78:CW78)</f>
        <v>0</v>
      </c>
      <c r="DF78">
        <f>SUM(F78:CW78)</f>
        <v>3391.01</v>
      </c>
    </row>
    <row r="79" spans="1:110"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c r="CX79">
        <f>SUM(F79:Q79)</f>
        <v>0</v>
      </c>
      <c r="CY79">
        <f>SUM(R79:AC79)</f>
        <v>0</v>
      </c>
      <c r="CZ79">
        <f>SUM(AD79:AO79)</f>
        <v>0</v>
      </c>
      <c r="DA79">
        <f>SUM(AP79:BA79)</f>
        <v>2405.0699999999997</v>
      </c>
      <c r="DB79">
        <f>SUM(BB79:BM79)</f>
        <v>4217.08</v>
      </c>
      <c r="DC79">
        <f>SUM(BN79:BY79)</f>
        <v>384.81</v>
      </c>
      <c r="DD79">
        <f>SUM(BZ79:CK79)</f>
        <v>0</v>
      </c>
      <c r="DE79">
        <f>SUM(CL79:CW79)</f>
        <v>0</v>
      </c>
      <c r="DF79">
        <f>SUM(F79:CW79)</f>
        <v>7006.9599999999991</v>
      </c>
    </row>
    <row r="80" spans="1:110"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c r="CX80">
        <f>SUM(F80:Q80)</f>
        <v>0</v>
      </c>
      <c r="CY80">
        <f>SUM(R80:AC80)</f>
        <v>6113.2</v>
      </c>
      <c r="CZ80">
        <f>SUM(AD80:AO80)</f>
        <v>2706.32</v>
      </c>
      <c r="DA80">
        <f>SUM(AP80:BA80)</f>
        <v>3481.24</v>
      </c>
      <c r="DB80">
        <f>SUM(BB80:BM80)</f>
        <v>0</v>
      </c>
      <c r="DC80">
        <f>SUM(BN80:BY80)</f>
        <v>0</v>
      </c>
      <c r="DD80">
        <f>SUM(BZ80:CK80)</f>
        <v>0</v>
      </c>
      <c r="DE80">
        <f>SUM(CL80:CW80)</f>
        <v>0</v>
      </c>
      <c r="DF80">
        <f>SUM(F80:CW80)</f>
        <v>12300.76</v>
      </c>
    </row>
    <row r="81" spans="1:110"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c r="CX81">
        <f>SUM(F81:Q81)</f>
        <v>0</v>
      </c>
      <c r="CY81">
        <f>SUM(R81:AC81)</f>
        <v>0</v>
      </c>
      <c r="CZ81">
        <f>SUM(AD81:AO81)</f>
        <v>0</v>
      </c>
      <c r="DA81">
        <f>SUM(AP81:BA81)</f>
        <v>0</v>
      </c>
      <c r="DB81">
        <f>SUM(BB81:BM81)</f>
        <v>0</v>
      </c>
      <c r="DC81">
        <f>SUM(BN81:BY81)</f>
        <v>4527.3500000000004</v>
      </c>
      <c r="DD81">
        <f>SUM(BZ81:CK81)</f>
        <v>0</v>
      </c>
      <c r="DE81">
        <f>SUM(CL81:CW81)</f>
        <v>0</v>
      </c>
      <c r="DF81">
        <f>SUM(F81:CW81)</f>
        <v>4527.3500000000004</v>
      </c>
    </row>
    <row r="82" spans="1:110"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c r="CX82">
        <f>SUM(F82:Q82)</f>
        <v>0</v>
      </c>
      <c r="CY82">
        <f>SUM(R82:AC82)</f>
        <v>0</v>
      </c>
      <c r="CZ82">
        <f>SUM(AD82:AO82)</f>
        <v>0</v>
      </c>
      <c r="DA82">
        <f>SUM(AP82:BA82)</f>
        <v>2129.1</v>
      </c>
      <c r="DB82">
        <f>SUM(BB82:BM82)</f>
        <v>9298.7199999999993</v>
      </c>
      <c r="DC82">
        <f>SUM(BN82:BY82)</f>
        <v>6391.89</v>
      </c>
      <c r="DD82">
        <f>SUM(BZ82:CK82)</f>
        <v>0</v>
      </c>
      <c r="DE82">
        <f>SUM(CL82:CW82)</f>
        <v>0</v>
      </c>
      <c r="DF82">
        <f>SUM(F82:CW82)</f>
        <v>17819.71</v>
      </c>
    </row>
    <row r="83" spans="1:110"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c r="CX83">
        <f>SUM(F83:Q83)</f>
        <v>0</v>
      </c>
      <c r="CY83">
        <f>SUM(R83:AC83)</f>
        <v>0</v>
      </c>
      <c r="CZ83">
        <f>SUM(AD83:AO83)</f>
        <v>0</v>
      </c>
      <c r="DA83">
        <f>SUM(AP83:BA83)</f>
        <v>0</v>
      </c>
      <c r="DB83">
        <f>SUM(BB83:BM83)</f>
        <v>0</v>
      </c>
      <c r="DC83">
        <f>SUM(BN83:BY83)</f>
        <v>0</v>
      </c>
      <c r="DD83">
        <f>SUM(BZ83:CK83)</f>
        <v>9488.130000000001</v>
      </c>
      <c r="DE83">
        <f>SUM(CL83:CW83)</f>
        <v>1061.9100000000001</v>
      </c>
      <c r="DF83">
        <f>SUM(F83:CW83)</f>
        <v>10550.04</v>
      </c>
    </row>
    <row r="84" spans="1:110"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c r="CX84">
        <f>SUM(F84:Q84)</f>
        <v>0</v>
      </c>
      <c r="CY84">
        <f>SUM(R84:AC84)</f>
        <v>0</v>
      </c>
      <c r="CZ84">
        <f>SUM(AD84:AO84)</f>
        <v>0</v>
      </c>
      <c r="DA84">
        <f>SUM(AP84:BA84)</f>
        <v>0</v>
      </c>
      <c r="DB84">
        <f>SUM(BB84:BM84)</f>
        <v>0</v>
      </c>
      <c r="DC84">
        <f>SUM(BN84:BY84)</f>
        <v>4079.59</v>
      </c>
      <c r="DD84">
        <f>SUM(BZ84:CK84)</f>
        <v>0</v>
      </c>
      <c r="DE84">
        <f>SUM(CL84:CW84)</f>
        <v>0</v>
      </c>
      <c r="DF84">
        <f>SUM(F84:CW84)</f>
        <v>4079.59</v>
      </c>
    </row>
    <row r="85" spans="1:110"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c r="CX85">
        <f>SUM(F85:Q85)</f>
        <v>0</v>
      </c>
      <c r="CY85">
        <f>SUM(R85:AC85)</f>
        <v>0</v>
      </c>
      <c r="CZ85">
        <f>SUM(AD85:AO85)</f>
        <v>0</v>
      </c>
      <c r="DA85">
        <f>SUM(AP85:BA85)</f>
        <v>0</v>
      </c>
      <c r="DB85">
        <f>SUM(BB85:BM85)</f>
        <v>0</v>
      </c>
      <c r="DC85">
        <f>SUM(BN85:BY85)</f>
        <v>0</v>
      </c>
      <c r="DD85">
        <f>SUM(BZ85:CK85)</f>
        <v>6593.59</v>
      </c>
      <c r="DE85">
        <f>SUM(CL85:CW85)</f>
        <v>358.83</v>
      </c>
      <c r="DF85">
        <f>SUM(F85:CW85)</f>
        <v>6952.42</v>
      </c>
    </row>
    <row r="86" spans="1:110"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c r="CX86">
        <f>SUM(F86:Q86)</f>
        <v>0</v>
      </c>
      <c r="CY86">
        <f>SUM(R86:AC86)</f>
        <v>0</v>
      </c>
      <c r="CZ86">
        <f>SUM(AD86:AO86)</f>
        <v>0</v>
      </c>
      <c r="DA86">
        <f>SUM(AP86:BA86)</f>
        <v>0</v>
      </c>
      <c r="DB86">
        <f>SUM(BB86:BM86)</f>
        <v>20960.98</v>
      </c>
      <c r="DC86">
        <f>SUM(BN86:BY86)</f>
        <v>0</v>
      </c>
      <c r="DD86">
        <f>SUM(BZ86:CK86)</f>
        <v>0</v>
      </c>
      <c r="DE86">
        <f>SUM(CL86:CW86)</f>
        <v>0</v>
      </c>
      <c r="DF86">
        <f>SUM(F86:CW86)</f>
        <v>20960.98</v>
      </c>
    </row>
    <row r="87" spans="1:110"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c r="CX87">
        <f>SUM(F87:Q87)</f>
        <v>0</v>
      </c>
      <c r="CY87">
        <f>SUM(R87:AC87)</f>
        <v>0</v>
      </c>
      <c r="CZ87">
        <f>SUM(AD87:AO87)</f>
        <v>0</v>
      </c>
      <c r="DA87">
        <f>SUM(AP87:BA87)</f>
        <v>0</v>
      </c>
      <c r="DB87">
        <f>SUM(BB87:BM87)</f>
        <v>0</v>
      </c>
      <c r="DC87">
        <f>SUM(BN87:BY87)</f>
        <v>2025.7</v>
      </c>
      <c r="DD87">
        <f>SUM(BZ87:CK87)</f>
        <v>0</v>
      </c>
      <c r="DE87">
        <f>SUM(CL87:CW87)</f>
        <v>0</v>
      </c>
      <c r="DF87">
        <f>SUM(F87:CW87)</f>
        <v>2025.7</v>
      </c>
    </row>
    <row r="88" spans="1:110"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c r="CX88">
        <f>SUM(F88:Q88)</f>
        <v>0</v>
      </c>
      <c r="CY88">
        <f>SUM(R88:AC88)</f>
        <v>0</v>
      </c>
      <c r="CZ88">
        <f>SUM(AD88:AO88)</f>
        <v>0</v>
      </c>
      <c r="DA88">
        <f>SUM(AP88:BA88)</f>
        <v>0</v>
      </c>
      <c r="DB88">
        <f>SUM(BB88:BM88)</f>
        <v>0</v>
      </c>
      <c r="DC88">
        <f>SUM(BN88:BY88)</f>
        <v>559.58000000000004</v>
      </c>
      <c r="DD88">
        <f>SUM(BZ88:CK88)</f>
        <v>3154.7</v>
      </c>
      <c r="DE88">
        <f>SUM(CL88:CW88)</f>
        <v>2146.5100000000002</v>
      </c>
      <c r="DF88">
        <f>SUM(F88:CW88)</f>
        <v>5860.7899999999991</v>
      </c>
    </row>
    <row r="89" spans="1:110"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c r="CX89">
        <f>SUM(F89:Q89)</f>
        <v>0</v>
      </c>
      <c r="CY89">
        <f>SUM(R89:AC89)</f>
        <v>0</v>
      </c>
      <c r="CZ89">
        <f>SUM(AD89:AO89)</f>
        <v>0</v>
      </c>
      <c r="DA89">
        <f>SUM(AP89:BA89)</f>
        <v>0</v>
      </c>
      <c r="DB89">
        <f>SUM(BB89:BM89)</f>
        <v>0</v>
      </c>
      <c r="DC89">
        <f>SUM(BN89:BY89)</f>
        <v>0</v>
      </c>
      <c r="DD89">
        <f>SUM(BZ89:CK89)</f>
        <v>0</v>
      </c>
      <c r="DE89">
        <f>SUM(CL89:CW89)</f>
        <v>4442.03</v>
      </c>
      <c r="DF89">
        <f>SUM(F89:CW89)</f>
        <v>4442.03</v>
      </c>
    </row>
    <row r="90" spans="1:110"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c r="CX90">
        <f>SUM(F90:Q90)</f>
        <v>0</v>
      </c>
      <c r="CY90">
        <f>SUM(R90:AC90)</f>
        <v>31824.579999999994</v>
      </c>
      <c r="CZ90">
        <f>SUM(AD90:AO90)</f>
        <v>92518.9</v>
      </c>
      <c r="DA90">
        <f>SUM(AP90:BA90)</f>
        <v>46731.770000000004</v>
      </c>
      <c r="DB90">
        <f>SUM(BB90:BM90)</f>
        <v>0</v>
      </c>
      <c r="DC90">
        <f>SUM(BN90:BY90)</f>
        <v>0</v>
      </c>
      <c r="DD90">
        <f>SUM(BZ90:CK90)</f>
        <v>0</v>
      </c>
      <c r="DE90">
        <f>SUM(CL90:CW90)</f>
        <v>0</v>
      </c>
      <c r="DF90">
        <f>SUM(F90:CW90)</f>
        <v>171075.25</v>
      </c>
    </row>
    <row r="91" spans="1:110"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c r="CX91">
        <f>SUM(F91:Q91)</f>
        <v>0</v>
      </c>
      <c r="CY91">
        <f>SUM(R91:AC91)</f>
        <v>0</v>
      </c>
      <c r="CZ91">
        <f>SUM(AD91:AO91)</f>
        <v>0</v>
      </c>
      <c r="DA91">
        <f>SUM(AP91:BA91)</f>
        <v>0</v>
      </c>
      <c r="DB91">
        <f>SUM(BB91:BM91)</f>
        <v>0</v>
      </c>
      <c r="DC91">
        <f>SUM(BN91:BY91)</f>
        <v>5940.22</v>
      </c>
      <c r="DD91">
        <f>SUM(BZ91:CK91)</f>
        <v>0</v>
      </c>
      <c r="DE91">
        <f>SUM(CL91:CW91)</f>
        <v>0</v>
      </c>
      <c r="DF91">
        <f>SUM(F91:CW91)</f>
        <v>5940.22</v>
      </c>
    </row>
    <row r="92" spans="1:110"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c r="CX92">
        <f>SUM(F92:Q92)</f>
        <v>0</v>
      </c>
      <c r="CY92">
        <f>SUM(R92:AC92)</f>
        <v>0</v>
      </c>
      <c r="CZ92">
        <f>SUM(AD92:AO92)</f>
        <v>0</v>
      </c>
      <c r="DA92">
        <f>SUM(AP92:BA92)</f>
        <v>0</v>
      </c>
      <c r="DB92">
        <f>SUM(BB92:BM92)</f>
        <v>0</v>
      </c>
      <c r="DC92">
        <f>SUM(BN92:BY92)</f>
        <v>3097.1</v>
      </c>
      <c r="DD92">
        <f>SUM(BZ92:CK92)</f>
        <v>0</v>
      </c>
      <c r="DE92">
        <f>SUM(CL92:CW92)</f>
        <v>0</v>
      </c>
      <c r="DF92">
        <f>SUM(F92:CW92)</f>
        <v>3097.1</v>
      </c>
    </row>
    <row r="93" spans="1:110"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c r="CX93">
        <f>SUM(F93:Q93)</f>
        <v>0</v>
      </c>
      <c r="CY93">
        <f>SUM(R93:AC93)</f>
        <v>0</v>
      </c>
      <c r="CZ93">
        <f>SUM(AD93:AO93)</f>
        <v>0</v>
      </c>
      <c r="DA93">
        <f>SUM(AP93:BA93)</f>
        <v>0</v>
      </c>
      <c r="DB93">
        <f>SUM(BB93:BM93)</f>
        <v>0</v>
      </c>
      <c r="DC93">
        <f>SUM(BN93:BY93)</f>
        <v>0</v>
      </c>
      <c r="DD93">
        <f>SUM(BZ93:CK93)</f>
        <v>9616.89</v>
      </c>
      <c r="DE93">
        <f>SUM(CL93:CW93)</f>
        <v>9489.56</v>
      </c>
      <c r="DF93">
        <f>SUM(F93:CW93)</f>
        <v>19106.45</v>
      </c>
    </row>
    <row r="94" spans="1:110"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c r="CX94">
        <f>SUM(F94:Q94)</f>
        <v>0</v>
      </c>
      <c r="CY94">
        <f>SUM(R94:AC94)</f>
        <v>0</v>
      </c>
      <c r="CZ94">
        <f>SUM(AD94:AO94)</f>
        <v>0</v>
      </c>
      <c r="DA94">
        <f>SUM(AP94:BA94)</f>
        <v>0</v>
      </c>
      <c r="DB94">
        <f>SUM(BB94:BM94)</f>
        <v>0</v>
      </c>
      <c r="DC94">
        <f>SUM(BN94:BY94)</f>
        <v>0</v>
      </c>
      <c r="DD94">
        <f>SUM(BZ94:CK94)</f>
        <v>2512.9399999999996</v>
      </c>
      <c r="DE94">
        <f>SUM(CL94:CW94)</f>
        <v>0</v>
      </c>
      <c r="DF94">
        <f>SUM(F94:CW94)</f>
        <v>2512.9399999999996</v>
      </c>
    </row>
    <row r="95" spans="1:110"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c r="CX95">
        <f>SUM(F95:Q95)</f>
        <v>0</v>
      </c>
      <c r="CY95">
        <f>SUM(R95:AC95)</f>
        <v>0</v>
      </c>
      <c r="CZ95">
        <f>SUM(AD95:AO95)</f>
        <v>0</v>
      </c>
      <c r="DA95">
        <f>SUM(AP95:BA95)</f>
        <v>0</v>
      </c>
      <c r="DB95">
        <f>SUM(BB95:BM95)</f>
        <v>0</v>
      </c>
      <c r="DC95">
        <f>SUM(BN95:BY95)</f>
        <v>24660.469999999998</v>
      </c>
      <c r="DD95">
        <f>SUM(BZ95:CK95)</f>
        <v>60400.580000000009</v>
      </c>
      <c r="DE95">
        <f>SUM(CL95:CW95)</f>
        <v>0</v>
      </c>
      <c r="DF95">
        <f>SUM(F95:CW95)</f>
        <v>85061.049999999988</v>
      </c>
    </row>
    <row r="96" spans="1:110"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c r="CX96">
        <f>SUM(F96:Q96)</f>
        <v>0</v>
      </c>
      <c r="CY96">
        <f>SUM(R96:AC96)</f>
        <v>0</v>
      </c>
      <c r="CZ96">
        <f>SUM(AD96:AO96)</f>
        <v>0</v>
      </c>
      <c r="DA96">
        <f>SUM(AP96:BA96)</f>
        <v>0</v>
      </c>
      <c r="DB96">
        <f>SUM(BB96:BM96)</f>
        <v>0</v>
      </c>
      <c r="DC96">
        <f>SUM(BN96:BY96)</f>
        <v>8633.6899999999987</v>
      </c>
      <c r="DD96">
        <f>SUM(BZ96:CK96)</f>
        <v>8911.41</v>
      </c>
      <c r="DE96">
        <f>SUM(CL96:CW96)</f>
        <v>870.66</v>
      </c>
      <c r="DF96">
        <f>SUM(F96:CW96)</f>
        <v>18415.759999999998</v>
      </c>
    </row>
    <row r="97" spans="1:110"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c r="CX97">
        <f>SUM(F97:Q97)</f>
        <v>0</v>
      </c>
      <c r="CY97">
        <f>SUM(R97:AC97)</f>
        <v>0</v>
      </c>
      <c r="CZ97">
        <f>SUM(AD97:AO97)</f>
        <v>0</v>
      </c>
      <c r="DA97">
        <f>SUM(AP97:BA97)</f>
        <v>0</v>
      </c>
      <c r="DB97">
        <f>SUM(BB97:BM97)</f>
        <v>0</v>
      </c>
      <c r="DC97">
        <f>SUM(BN97:BY97)</f>
        <v>0</v>
      </c>
      <c r="DD97">
        <f>SUM(BZ97:CK97)</f>
        <v>0</v>
      </c>
      <c r="DE97">
        <f>SUM(CL97:CW97)</f>
        <v>1412.8799999999999</v>
      </c>
      <c r="DF97">
        <f>SUM(F97:CW97)</f>
        <v>1412.8799999999999</v>
      </c>
    </row>
    <row r="98" spans="1:110"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c r="CX98">
        <f>SUM(F98:Q98)</f>
        <v>0</v>
      </c>
      <c r="CY98">
        <f>SUM(R98:AC98)</f>
        <v>0</v>
      </c>
      <c r="CZ98">
        <f>SUM(AD98:AO98)</f>
        <v>0</v>
      </c>
      <c r="DA98">
        <f>SUM(AP98:BA98)</f>
        <v>0</v>
      </c>
      <c r="DB98">
        <f>SUM(BB98:BM98)</f>
        <v>0</v>
      </c>
      <c r="DC98">
        <f>SUM(BN98:BY98)</f>
        <v>0</v>
      </c>
      <c r="DD98">
        <f>SUM(BZ98:CK98)</f>
        <v>0</v>
      </c>
      <c r="DE98">
        <f>SUM(CL98:CW98)</f>
        <v>1718.36</v>
      </c>
      <c r="DF98">
        <f>SUM(F98:CW98)</f>
        <v>1718.36</v>
      </c>
    </row>
    <row r="99" spans="1:110"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c r="CX99">
        <f>SUM(F99:Q99)</f>
        <v>0</v>
      </c>
      <c r="CY99">
        <f>SUM(R99:AC99)</f>
        <v>0</v>
      </c>
      <c r="CZ99">
        <f>SUM(AD99:AO99)</f>
        <v>0</v>
      </c>
      <c r="DA99">
        <f>SUM(AP99:BA99)</f>
        <v>0</v>
      </c>
      <c r="DB99">
        <f>SUM(BB99:BM99)</f>
        <v>0</v>
      </c>
      <c r="DC99">
        <f>SUM(BN99:BY99)</f>
        <v>6494.31</v>
      </c>
      <c r="DD99">
        <f>SUM(BZ99:CK99)</f>
        <v>29149.02</v>
      </c>
      <c r="DE99">
        <f>SUM(CL99:CW99)</f>
        <v>0</v>
      </c>
      <c r="DF99">
        <f>SUM(F99:CW99)</f>
        <v>35643.33</v>
      </c>
    </row>
    <row r="100" spans="1:110"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c r="CX100">
        <f>SUM(F100:Q100)</f>
        <v>0</v>
      </c>
      <c r="CY100">
        <f>SUM(R100:AC100)</f>
        <v>0</v>
      </c>
      <c r="CZ100">
        <f>SUM(AD100:AO100)</f>
        <v>0</v>
      </c>
      <c r="DA100">
        <f>SUM(AP100:BA100)</f>
        <v>0</v>
      </c>
      <c r="DB100">
        <f>SUM(BB100:BM100)</f>
        <v>0</v>
      </c>
      <c r="DC100">
        <f>SUM(BN100:BY100)</f>
        <v>3310.6499999999996</v>
      </c>
      <c r="DD100">
        <f>SUM(BZ100:CK100)</f>
        <v>305.92</v>
      </c>
      <c r="DE100">
        <f>SUM(CL100:CW100)</f>
        <v>0</v>
      </c>
      <c r="DF100">
        <f>SUM(F100:CW100)</f>
        <v>3616.5699999999997</v>
      </c>
    </row>
    <row r="101" spans="1:110"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c r="CX101">
        <f>SUM(F101:Q101)</f>
        <v>0</v>
      </c>
      <c r="CY101">
        <f>SUM(R101:AC101)</f>
        <v>0</v>
      </c>
      <c r="CZ101">
        <f>SUM(AD101:AO101)</f>
        <v>0</v>
      </c>
      <c r="DA101">
        <f>SUM(AP101:BA101)</f>
        <v>7956.2000000000007</v>
      </c>
      <c r="DB101">
        <f>SUM(BB101:BM101)</f>
        <v>7049.84</v>
      </c>
      <c r="DC101">
        <f>SUM(BN101:BY101)</f>
        <v>0</v>
      </c>
      <c r="DD101">
        <f>SUM(BZ101:CK101)</f>
        <v>0</v>
      </c>
      <c r="DE101">
        <f>SUM(CL101:CW101)</f>
        <v>0</v>
      </c>
      <c r="DF101">
        <f>SUM(F101:CW101)</f>
        <v>15006.039999999999</v>
      </c>
    </row>
    <row r="102" spans="1:110"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c r="CX102">
        <f>SUM(F102:Q102)</f>
        <v>0</v>
      </c>
      <c r="CY102">
        <f>SUM(R102:AC102)</f>
        <v>0</v>
      </c>
      <c r="CZ102">
        <f>SUM(AD102:AO102)</f>
        <v>0</v>
      </c>
      <c r="DA102">
        <f>SUM(AP102:BA102)</f>
        <v>0</v>
      </c>
      <c r="DB102">
        <f>SUM(BB102:BM102)</f>
        <v>0</v>
      </c>
      <c r="DC102">
        <f>SUM(BN102:BY102)</f>
        <v>8702.130000000001</v>
      </c>
      <c r="DD102">
        <f>SUM(BZ102:CK102)</f>
        <v>1312.57</v>
      </c>
      <c r="DE102">
        <f>SUM(CL102:CW102)</f>
        <v>0</v>
      </c>
      <c r="DF102">
        <f>SUM(F102:CW102)</f>
        <v>10014.700000000001</v>
      </c>
    </row>
    <row r="103" spans="1:110"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c r="CX103">
        <f>SUM(F103:Q103)</f>
        <v>0</v>
      </c>
      <c r="CY103">
        <f>SUM(R103:AC103)</f>
        <v>0</v>
      </c>
      <c r="CZ103">
        <f>SUM(AD103:AO103)</f>
        <v>0</v>
      </c>
      <c r="DA103">
        <f>SUM(AP103:BA103)</f>
        <v>0</v>
      </c>
      <c r="DB103">
        <f>SUM(BB103:BM103)</f>
        <v>0</v>
      </c>
      <c r="DC103">
        <f>SUM(BN103:BY103)</f>
        <v>0</v>
      </c>
      <c r="DD103">
        <f>SUM(BZ103:CK103)</f>
        <v>3868.48</v>
      </c>
      <c r="DE103">
        <f>SUM(CL103:CW103)</f>
        <v>222.68</v>
      </c>
      <c r="DF103">
        <f>SUM(F103:CW103)</f>
        <v>4091.16</v>
      </c>
    </row>
    <row r="104" spans="1:110"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c r="CX104">
        <f>SUM(F104:Q104)</f>
        <v>0</v>
      </c>
      <c r="CY104">
        <f>SUM(R104:AC104)</f>
        <v>947.37</v>
      </c>
      <c r="CZ104">
        <f>SUM(AD104:AO104)</f>
        <v>3393.59</v>
      </c>
      <c r="DA104">
        <f>SUM(AP104:BA104)</f>
        <v>0</v>
      </c>
      <c r="DB104">
        <f>SUM(BB104:BM104)</f>
        <v>0</v>
      </c>
      <c r="DC104">
        <f>SUM(BN104:BY104)</f>
        <v>0</v>
      </c>
      <c r="DD104">
        <f>SUM(BZ104:CK104)</f>
        <v>0</v>
      </c>
      <c r="DE104">
        <f>SUM(CL104:CW104)</f>
        <v>0</v>
      </c>
      <c r="DF104">
        <f>SUM(F104:CW104)</f>
        <v>4340.96</v>
      </c>
    </row>
    <row r="105" spans="1:110"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c r="CX105">
        <f>SUM(F105:Q105)</f>
        <v>0</v>
      </c>
      <c r="CY105">
        <f>SUM(R105:AC105)</f>
        <v>0</v>
      </c>
      <c r="CZ105">
        <f>SUM(AD105:AO105)</f>
        <v>0</v>
      </c>
      <c r="DA105">
        <f>SUM(AP105:BA105)</f>
        <v>0</v>
      </c>
      <c r="DB105">
        <f>SUM(BB105:BM105)</f>
        <v>0</v>
      </c>
      <c r="DC105">
        <f>SUM(BN105:BY105)</f>
        <v>2179.64</v>
      </c>
      <c r="DD105">
        <f>SUM(BZ105:CK105)</f>
        <v>8026.5700000000006</v>
      </c>
      <c r="DE105">
        <f>SUM(CL105:CW105)</f>
        <v>2180.1799999999998</v>
      </c>
      <c r="DF105">
        <f>SUM(F105:CW105)</f>
        <v>12386.39</v>
      </c>
    </row>
    <row r="106" spans="1:110"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c r="CX106">
        <f>SUM(F106:Q106)</f>
        <v>0</v>
      </c>
      <c r="CY106">
        <f>SUM(R106:AC106)</f>
        <v>1490.4999999999998</v>
      </c>
      <c r="CZ106">
        <f>SUM(AD106:AO106)</f>
        <v>14285.98</v>
      </c>
      <c r="DA106">
        <f>SUM(AP106:BA106)</f>
        <v>2002.8</v>
      </c>
      <c r="DB106">
        <f>SUM(BB106:BM106)</f>
        <v>0</v>
      </c>
      <c r="DC106">
        <f>SUM(BN106:BY106)</f>
        <v>0</v>
      </c>
      <c r="DD106">
        <f>SUM(BZ106:CK106)</f>
        <v>0</v>
      </c>
      <c r="DE106">
        <f>SUM(CL106:CW106)</f>
        <v>0</v>
      </c>
      <c r="DF106">
        <f>SUM(F106:CW106)</f>
        <v>17779.28</v>
      </c>
    </row>
    <row r="107" spans="1:110"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c r="CX107">
        <f>SUM(F107:Q107)</f>
        <v>0</v>
      </c>
      <c r="CY107">
        <f>SUM(R107:AC107)</f>
        <v>0</v>
      </c>
      <c r="CZ107">
        <f>SUM(AD107:AO107)</f>
        <v>0</v>
      </c>
      <c r="DA107">
        <f>SUM(AP107:BA107)</f>
        <v>0</v>
      </c>
      <c r="DB107">
        <f>SUM(BB107:BM107)</f>
        <v>6303.09</v>
      </c>
      <c r="DC107">
        <f>SUM(BN107:BY107)</f>
        <v>0</v>
      </c>
      <c r="DD107">
        <f>SUM(BZ107:CK107)</f>
        <v>0</v>
      </c>
      <c r="DE107">
        <f>SUM(CL107:CW107)</f>
        <v>0</v>
      </c>
      <c r="DF107">
        <f>SUM(F107:CW107)</f>
        <v>6303.09</v>
      </c>
    </row>
    <row r="108" spans="1:110"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c r="CX108">
        <f>SUM(F108:Q108)</f>
        <v>0</v>
      </c>
      <c r="CY108">
        <f>SUM(R108:AC108)</f>
        <v>0</v>
      </c>
      <c r="CZ108">
        <f>SUM(AD108:AO108)</f>
        <v>0</v>
      </c>
      <c r="DA108">
        <f>SUM(AP108:BA108)</f>
        <v>0</v>
      </c>
      <c r="DB108">
        <f>SUM(BB108:BM108)</f>
        <v>0</v>
      </c>
      <c r="DC108">
        <f>SUM(BN108:BY108)</f>
        <v>0</v>
      </c>
      <c r="DD108">
        <f>SUM(BZ108:CK108)</f>
        <v>0</v>
      </c>
      <c r="DE108">
        <f>SUM(CL108:CW108)</f>
        <v>2397.73</v>
      </c>
      <c r="DF108">
        <f>SUM(F108:CW108)</f>
        <v>2397.73</v>
      </c>
    </row>
    <row r="109" spans="1:110"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c r="CX109">
        <f>SUM(F109:Q109)</f>
        <v>0</v>
      </c>
      <c r="CY109">
        <f>SUM(R109:AC109)</f>
        <v>0</v>
      </c>
      <c r="CZ109">
        <f>SUM(AD109:AO109)</f>
        <v>0</v>
      </c>
      <c r="DA109">
        <f>SUM(AP109:BA109)</f>
        <v>0</v>
      </c>
      <c r="DB109">
        <f>SUM(BB109:BM109)</f>
        <v>0</v>
      </c>
      <c r="DC109">
        <f>SUM(BN109:BY109)</f>
        <v>2644.4700000000003</v>
      </c>
      <c r="DD109">
        <f>SUM(BZ109:CK109)</f>
        <v>2879.88</v>
      </c>
      <c r="DE109">
        <f>SUM(CL109:CW109)</f>
        <v>0</v>
      </c>
      <c r="DF109">
        <f>SUM(F109:CW109)</f>
        <v>5524.35</v>
      </c>
    </row>
    <row r="110" spans="1:110"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c r="CX110">
        <f>SUM(F110:Q110)</f>
        <v>0</v>
      </c>
      <c r="CY110">
        <f>SUM(R110:AC110)</f>
        <v>0</v>
      </c>
      <c r="CZ110">
        <f>SUM(AD110:AO110)</f>
        <v>0</v>
      </c>
      <c r="DA110">
        <f>SUM(AP110:BA110)</f>
        <v>0</v>
      </c>
      <c r="DB110">
        <f>SUM(BB110:BM110)</f>
        <v>0</v>
      </c>
      <c r="DC110">
        <f>SUM(BN110:BY110)</f>
        <v>2857.1099999999997</v>
      </c>
      <c r="DD110">
        <f>SUM(BZ110:CK110)</f>
        <v>3272.19</v>
      </c>
      <c r="DE110">
        <f>SUM(CL110:CW110)</f>
        <v>0</v>
      </c>
      <c r="DF110">
        <f>SUM(F110:CW110)</f>
        <v>6129.3</v>
      </c>
    </row>
    <row r="111" spans="1:110"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c r="CX111">
        <f>SUM(F111:Q111)</f>
        <v>0</v>
      </c>
      <c r="CY111">
        <f>SUM(R111:AC111)</f>
        <v>0</v>
      </c>
      <c r="CZ111">
        <f>SUM(AD111:AO111)</f>
        <v>0</v>
      </c>
      <c r="DA111">
        <f>SUM(AP111:BA111)</f>
        <v>0</v>
      </c>
      <c r="DB111">
        <f>SUM(BB111:BM111)</f>
        <v>0</v>
      </c>
      <c r="DC111">
        <f>SUM(BN111:BY111)</f>
        <v>0</v>
      </c>
      <c r="DD111">
        <f>SUM(BZ111:CK111)</f>
        <v>0</v>
      </c>
      <c r="DE111">
        <f>SUM(CL111:CW111)</f>
        <v>3756.35</v>
      </c>
      <c r="DF111">
        <f>SUM(F111:CW111)</f>
        <v>3756.35</v>
      </c>
    </row>
    <row r="112" spans="1:110"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c r="CX112">
        <f>SUM(F112:Q112)</f>
        <v>0</v>
      </c>
      <c r="CY112">
        <f>SUM(R112:AC112)</f>
        <v>0</v>
      </c>
      <c r="CZ112">
        <f>SUM(AD112:AO112)</f>
        <v>0</v>
      </c>
      <c r="DA112">
        <f>SUM(AP112:BA112)</f>
        <v>0</v>
      </c>
      <c r="DB112">
        <f>SUM(BB112:BM112)</f>
        <v>6047.2000000000007</v>
      </c>
      <c r="DC112">
        <f>SUM(BN112:BY112)</f>
        <v>2944.3900000000003</v>
      </c>
      <c r="DD112">
        <f>SUM(BZ112:CK112)</f>
        <v>711.4</v>
      </c>
      <c r="DE112">
        <f>SUM(CL112:CW112)</f>
        <v>0</v>
      </c>
      <c r="DF112">
        <f>SUM(F112:CW112)</f>
        <v>9702.99</v>
      </c>
    </row>
    <row r="113" spans="1:110"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c r="CX113">
        <f>SUM(F113:Q113)</f>
        <v>0</v>
      </c>
      <c r="CY113">
        <f>SUM(R113:AC113)</f>
        <v>0</v>
      </c>
      <c r="CZ113">
        <f>SUM(AD113:AO113)</f>
        <v>0</v>
      </c>
      <c r="DA113">
        <f>SUM(AP113:BA113)</f>
        <v>0</v>
      </c>
      <c r="DB113">
        <f>SUM(BB113:BM113)</f>
        <v>1720.1699999999998</v>
      </c>
      <c r="DC113">
        <f>SUM(BN113:BY113)</f>
        <v>8332.1899999999987</v>
      </c>
      <c r="DD113">
        <f>SUM(BZ113:CK113)</f>
        <v>2019.4</v>
      </c>
      <c r="DE113">
        <f>SUM(CL113:CW113)</f>
        <v>0</v>
      </c>
      <c r="DF113">
        <f>SUM(F113:CW113)</f>
        <v>12071.759999999998</v>
      </c>
    </row>
    <row r="114" spans="1:110"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c r="CX114">
        <f>SUM(F114:Q114)</f>
        <v>0</v>
      </c>
      <c r="CY114">
        <f>SUM(R114:AC114)</f>
        <v>5788.39</v>
      </c>
      <c r="CZ114">
        <f>SUM(AD114:AO114)</f>
        <v>0</v>
      </c>
      <c r="DA114">
        <f>SUM(AP114:BA114)</f>
        <v>0</v>
      </c>
      <c r="DB114">
        <f>SUM(BB114:BM114)</f>
        <v>0</v>
      </c>
      <c r="DC114">
        <f>SUM(BN114:BY114)</f>
        <v>0</v>
      </c>
      <c r="DD114">
        <f>SUM(BZ114:CK114)</f>
        <v>0</v>
      </c>
      <c r="DE114">
        <f>SUM(CL114:CW114)</f>
        <v>0</v>
      </c>
      <c r="DF114">
        <f>SUM(F114:CW114)</f>
        <v>5788.39</v>
      </c>
    </row>
    <row r="115" spans="1:110"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c r="CX115">
        <f>SUM(F115:Q115)</f>
        <v>0</v>
      </c>
      <c r="CY115">
        <f>SUM(R115:AC115)</f>
        <v>0</v>
      </c>
      <c r="CZ115">
        <f>SUM(AD115:AO115)</f>
        <v>0</v>
      </c>
      <c r="DA115">
        <f>SUM(AP115:BA115)</f>
        <v>0</v>
      </c>
      <c r="DB115">
        <f>SUM(BB115:BM115)</f>
        <v>0</v>
      </c>
      <c r="DC115">
        <f>SUM(BN115:BY115)</f>
        <v>13085.42</v>
      </c>
      <c r="DD115">
        <f>SUM(BZ115:CK115)</f>
        <v>0</v>
      </c>
      <c r="DE115">
        <f>SUM(CL115:CW115)</f>
        <v>0</v>
      </c>
      <c r="DF115">
        <f>SUM(F115:CW115)</f>
        <v>13085.42</v>
      </c>
    </row>
    <row r="116" spans="1:110"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c r="CX116">
        <f>SUM(F116:Q116)</f>
        <v>0</v>
      </c>
      <c r="CY116">
        <f>SUM(R116:AC116)</f>
        <v>0</v>
      </c>
      <c r="CZ116">
        <f>SUM(AD116:AO116)</f>
        <v>0</v>
      </c>
      <c r="DA116">
        <f>SUM(AP116:BA116)</f>
        <v>0</v>
      </c>
      <c r="DB116">
        <f>SUM(BB116:BM116)</f>
        <v>0</v>
      </c>
      <c r="DC116">
        <f>SUM(BN116:BY116)</f>
        <v>0</v>
      </c>
      <c r="DD116">
        <f>SUM(BZ116:CK116)</f>
        <v>0</v>
      </c>
      <c r="DE116">
        <f>SUM(CL116:CW116)</f>
        <v>2817.3999999999996</v>
      </c>
      <c r="DF116">
        <f>SUM(F116:CW116)</f>
        <v>2817.3999999999996</v>
      </c>
    </row>
    <row r="117" spans="1:110"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c r="CX117">
        <f>SUM(F117:Q117)</f>
        <v>0</v>
      </c>
      <c r="CY117">
        <f>SUM(R117:AC117)</f>
        <v>0</v>
      </c>
      <c r="CZ117">
        <f>SUM(AD117:AO117)</f>
        <v>0</v>
      </c>
      <c r="DA117">
        <f>SUM(AP117:BA117)</f>
        <v>0</v>
      </c>
      <c r="DB117">
        <f>SUM(BB117:BM117)</f>
        <v>5341.42</v>
      </c>
      <c r="DC117">
        <f>SUM(BN117:BY117)</f>
        <v>7192.97</v>
      </c>
      <c r="DD117">
        <f>SUM(BZ117:CK117)</f>
        <v>0</v>
      </c>
      <c r="DE117">
        <f>SUM(CL117:CW117)</f>
        <v>0</v>
      </c>
      <c r="DF117">
        <f>SUM(F117:CW117)</f>
        <v>12534.39</v>
      </c>
    </row>
    <row r="118" spans="1:110"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c r="CX118">
        <f>SUM(F118:Q118)</f>
        <v>0</v>
      </c>
      <c r="CY118">
        <f>SUM(R118:AC118)</f>
        <v>0</v>
      </c>
      <c r="CZ118">
        <f>SUM(AD118:AO118)</f>
        <v>0</v>
      </c>
      <c r="DA118">
        <f>SUM(AP118:BA118)</f>
        <v>2517.4899999999998</v>
      </c>
      <c r="DB118">
        <f>SUM(BB118:BM118)</f>
        <v>0</v>
      </c>
      <c r="DC118">
        <f>SUM(BN118:BY118)</f>
        <v>0</v>
      </c>
      <c r="DD118">
        <f>SUM(BZ118:CK118)</f>
        <v>0</v>
      </c>
      <c r="DE118">
        <f>SUM(CL118:CW118)</f>
        <v>0</v>
      </c>
      <c r="DF118">
        <f>SUM(F118:CW118)</f>
        <v>2517.4899999999998</v>
      </c>
    </row>
    <row r="119" spans="1:110"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c r="CX119">
        <f>SUM(F119:Q119)</f>
        <v>0</v>
      </c>
      <c r="CY119">
        <f>SUM(R119:AC119)</f>
        <v>0</v>
      </c>
      <c r="CZ119">
        <f>SUM(AD119:AO119)</f>
        <v>0</v>
      </c>
      <c r="DA119">
        <f>SUM(AP119:BA119)</f>
        <v>0</v>
      </c>
      <c r="DB119">
        <f>SUM(BB119:BM119)</f>
        <v>0</v>
      </c>
      <c r="DC119">
        <f>SUM(BN119:BY119)</f>
        <v>0</v>
      </c>
      <c r="DD119">
        <f>SUM(BZ119:CK119)</f>
        <v>1850.92</v>
      </c>
      <c r="DE119">
        <f>SUM(CL119:CW119)</f>
        <v>751.26</v>
      </c>
      <c r="DF119">
        <f>SUM(F119:CW119)</f>
        <v>2602.1800000000003</v>
      </c>
    </row>
    <row r="120" spans="1:110"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c r="CX120">
        <f>SUM(F120:Q120)</f>
        <v>0</v>
      </c>
      <c r="CY120">
        <f>SUM(R120:AC120)</f>
        <v>0</v>
      </c>
      <c r="CZ120">
        <f>SUM(AD120:AO120)</f>
        <v>0</v>
      </c>
      <c r="DA120">
        <f>SUM(AP120:BA120)</f>
        <v>0</v>
      </c>
      <c r="DB120">
        <f>SUM(BB120:BM120)</f>
        <v>0</v>
      </c>
      <c r="DC120">
        <f>SUM(BN120:BY120)</f>
        <v>6669.01</v>
      </c>
      <c r="DD120">
        <f>SUM(BZ120:CK120)</f>
        <v>0</v>
      </c>
      <c r="DE120">
        <f>SUM(CL120:CW120)</f>
        <v>0</v>
      </c>
      <c r="DF120">
        <f>SUM(F120:CW120)</f>
        <v>6669.01</v>
      </c>
    </row>
    <row r="121" spans="1:110"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c r="CX121">
        <f>SUM(F121:Q121)</f>
        <v>0</v>
      </c>
      <c r="CY121">
        <f>SUM(R121:AC121)</f>
        <v>0</v>
      </c>
      <c r="CZ121">
        <f>SUM(AD121:AO121)</f>
        <v>0</v>
      </c>
      <c r="DA121">
        <f>SUM(AP121:BA121)</f>
        <v>0</v>
      </c>
      <c r="DB121">
        <f>SUM(BB121:BM121)</f>
        <v>3941.74</v>
      </c>
      <c r="DC121">
        <f>SUM(BN121:BY121)</f>
        <v>0</v>
      </c>
      <c r="DD121">
        <f>SUM(BZ121:CK121)</f>
        <v>0</v>
      </c>
      <c r="DE121">
        <f>SUM(CL121:CW121)</f>
        <v>0</v>
      </c>
      <c r="DF121">
        <f>SUM(F121:CW121)</f>
        <v>3941.74</v>
      </c>
    </row>
    <row r="122" spans="1:110"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c r="CX122">
        <f>SUM(F122:Q122)</f>
        <v>0</v>
      </c>
      <c r="CY122">
        <f>SUM(R122:AC122)</f>
        <v>0</v>
      </c>
      <c r="CZ122">
        <f>SUM(AD122:AO122)</f>
        <v>0</v>
      </c>
      <c r="DA122">
        <f>SUM(AP122:BA122)</f>
        <v>0</v>
      </c>
      <c r="DB122">
        <f>SUM(BB122:BM122)</f>
        <v>2886.5199999999995</v>
      </c>
      <c r="DC122">
        <f>SUM(BN122:BY122)</f>
        <v>3862.4700000000003</v>
      </c>
      <c r="DD122">
        <f>SUM(BZ122:CK122)</f>
        <v>139.62</v>
      </c>
      <c r="DE122">
        <f>SUM(CL122:CW122)</f>
        <v>0</v>
      </c>
      <c r="DF122">
        <f>SUM(F122:CW122)</f>
        <v>6888.61</v>
      </c>
    </row>
    <row r="123" spans="1:110"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c r="CX123">
        <f>SUM(F123:Q123)</f>
        <v>0</v>
      </c>
      <c r="CY123">
        <f>SUM(R123:AC123)</f>
        <v>0</v>
      </c>
      <c r="CZ123">
        <f>SUM(AD123:AO123)</f>
        <v>3264.49</v>
      </c>
      <c r="DA123">
        <f>SUM(AP123:BA123)</f>
        <v>0</v>
      </c>
      <c r="DB123">
        <f>SUM(BB123:BM123)</f>
        <v>0</v>
      </c>
      <c r="DC123">
        <f>SUM(BN123:BY123)</f>
        <v>0</v>
      </c>
      <c r="DD123">
        <f>SUM(BZ123:CK123)</f>
        <v>0</v>
      </c>
      <c r="DE123">
        <f>SUM(CL123:CW123)</f>
        <v>0</v>
      </c>
      <c r="DF123">
        <f>SUM(F123:CW123)</f>
        <v>3264.49</v>
      </c>
    </row>
    <row r="124" spans="1:110"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c r="CX124">
        <f>SUM(F124:Q124)</f>
        <v>0</v>
      </c>
      <c r="CY124">
        <f>SUM(R124:AC124)</f>
        <v>0</v>
      </c>
      <c r="CZ124">
        <f>SUM(AD124:AO124)</f>
        <v>0</v>
      </c>
      <c r="DA124">
        <f>SUM(AP124:BA124)</f>
        <v>4280.0499999999993</v>
      </c>
      <c r="DB124">
        <f>SUM(BB124:BM124)</f>
        <v>7102.17</v>
      </c>
      <c r="DC124">
        <f>SUM(BN124:BY124)</f>
        <v>1143.44</v>
      </c>
      <c r="DD124">
        <f>SUM(BZ124:CK124)</f>
        <v>0</v>
      </c>
      <c r="DE124">
        <f>SUM(CL124:CW124)</f>
        <v>0</v>
      </c>
      <c r="DF124">
        <f>SUM(F124:CW124)</f>
        <v>12525.659999999998</v>
      </c>
    </row>
    <row r="125" spans="1:110"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c r="CX125">
        <f>SUM(F125:Q125)</f>
        <v>0</v>
      </c>
      <c r="CY125">
        <f>SUM(R125:AC125)</f>
        <v>0</v>
      </c>
      <c r="CZ125">
        <f>SUM(AD125:AO125)</f>
        <v>5514.77</v>
      </c>
      <c r="DA125">
        <f>SUM(AP125:BA125)</f>
        <v>0</v>
      </c>
      <c r="DB125">
        <f>SUM(BB125:BM125)</f>
        <v>0</v>
      </c>
      <c r="DC125">
        <f>SUM(BN125:BY125)</f>
        <v>0</v>
      </c>
      <c r="DD125">
        <f>SUM(BZ125:CK125)</f>
        <v>0</v>
      </c>
      <c r="DE125">
        <f>SUM(CL125:CW125)</f>
        <v>0</v>
      </c>
      <c r="DF125">
        <f>SUM(F125:CW125)</f>
        <v>5514.77</v>
      </c>
    </row>
    <row r="126" spans="1:110"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c r="CX126">
        <f>SUM(F126:Q126)</f>
        <v>0</v>
      </c>
      <c r="CY126">
        <f>SUM(R126:AC126)</f>
        <v>0</v>
      </c>
      <c r="CZ126">
        <f>SUM(AD126:AO126)</f>
        <v>0</v>
      </c>
      <c r="DA126">
        <f>SUM(AP126:BA126)</f>
        <v>0</v>
      </c>
      <c r="DB126">
        <f>SUM(BB126:BM126)</f>
        <v>8952.56</v>
      </c>
      <c r="DC126">
        <f>SUM(BN126:BY126)</f>
        <v>0</v>
      </c>
      <c r="DD126">
        <f>SUM(BZ126:CK126)</f>
        <v>0</v>
      </c>
      <c r="DE126">
        <f>SUM(CL126:CW126)</f>
        <v>0</v>
      </c>
      <c r="DF126">
        <f>SUM(F126:CW126)</f>
        <v>8952.56</v>
      </c>
    </row>
    <row r="127" spans="1:110"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c r="CX127">
        <f>SUM(F127:Q127)</f>
        <v>0</v>
      </c>
      <c r="CY127">
        <f>SUM(R127:AC127)</f>
        <v>0</v>
      </c>
      <c r="CZ127">
        <f>SUM(AD127:AO127)</f>
        <v>0</v>
      </c>
      <c r="DA127">
        <f>SUM(AP127:BA127)</f>
        <v>0</v>
      </c>
      <c r="DB127">
        <f>SUM(BB127:BM127)</f>
        <v>0</v>
      </c>
      <c r="DC127">
        <f>SUM(BN127:BY127)</f>
        <v>0</v>
      </c>
      <c r="DD127">
        <f>SUM(BZ127:CK127)</f>
        <v>0</v>
      </c>
      <c r="DE127">
        <f>SUM(CL127:CW127)</f>
        <v>1534</v>
      </c>
      <c r="DF127">
        <f>SUM(F127:CW127)</f>
        <v>1534</v>
      </c>
    </row>
    <row r="128" spans="1:110"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c r="CX128">
        <f>SUM(F128:Q128)</f>
        <v>0</v>
      </c>
      <c r="CY128">
        <f>SUM(R128:AC128)</f>
        <v>0</v>
      </c>
      <c r="CZ128">
        <f>SUM(AD128:AO128)</f>
        <v>0</v>
      </c>
      <c r="DA128">
        <f>SUM(AP128:BA128)</f>
        <v>0</v>
      </c>
      <c r="DB128">
        <f>SUM(BB128:BM128)</f>
        <v>0</v>
      </c>
      <c r="DC128">
        <f>SUM(BN128:BY128)</f>
        <v>9145.76</v>
      </c>
      <c r="DD128">
        <f>SUM(BZ128:CK128)</f>
        <v>2352.5100000000002</v>
      </c>
      <c r="DE128">
        <f>SUM(CL128:CW128)</f>
        <v>0</v>
      </c>
      <c r="DF128">
        <f>SUM(F128:CW128)</f>
        <v>11498.27</v>
      </c>
    </row>
    <row r="129" spans="1:110"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c r="CX129">
        <f>SUM(F129:Q129)</f>
        <v>0</v>
      </c>
      <c r="CY129">
        <f>SUM(R129:AC129)</f>
        <v>0</v>
      </c>
      <c r="CZ129">
        <f>SUM(AD129:AO129)</f>
        <v>0</v>
      </c>
      <c r="DA129">
        <f>SUM(AP129:BA129)</f>
        <v>0</v>
      </c>
      <c r="DB129">
        <f>SUM(BB129:BM129)</f>
        <v>0</v>
      </c>
      <c r="DC129">
        <f>SUM(BN129:BY129)</f>
        <v>0</v>
      </c>
      <c r="DD129">
        <f>SUM(BZ129:CK129)</f>
        <v>0</v>
      </c>
      <c r="DE129">
        <f>SUM(CL129:CW129)</f>
        <v>6757.5999999999995</v>
      </c>
      <c r="DF129">
        <f>SUM(F129:CW129)</f>
        <v>6757.5999999999995</v>
      </c>
    </row>
    <row r="130" spans="1:110"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c r="CX130">
        <f>SUM(F130:Q130)</f>
        <v>0</v>
      </c>
      <c r="CY130">
        <f>SUM(R130:AC130)</f>
        <v>0</v>
      </c>
      <c r="CZ130">
        <f>SUM(AD130:AO130)</f>
        <v>0</v>
      </c>
      <c r="DA130">
        <f>SUM(AP130:BA130)</f>
        <v>5224.33</v>
      </c>
      <c r="DB130">
        <f>SUM(BB130:BM130)</f>
        <v>0</v>
      </c>
      <c r="DC130">
        <f>SUM(BN130:BY130)</f>
        <v>0</v>
      </c>
      <c r="DD130">
        <f>SUM(BZ130:CK130)</f>
        <v>0</v>
      </c>
      <c r="DE130">
        <f>SUM(CL130:CW130)</f>
        <v>0</v>
      </c>
      <c r="DF130">
        <f>SUM(F130:CW130)</f>
        <v>5224.33</v>
      </c>
    </row>
    <row r="131" spans="1:110"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c r="CX131">
        <f>SUM(F131:Q131)</f>
        <v>0</v>
      </c>
      <c r="CY131">
        <f>SUM(R131:AC131)</f>
        <v>0</v>
      </c>
      <c r="CZ131">
        <f>SUM(AD131:AO131)</f>
        <v>0</v>
      </c>
      <c r="DA131">
        <f>SUM(AP131:BA131)</f>
        <v>0</v>
      </c>
      <c r="DB131">
        <f>SUM(BB131:BM131)</f>
        <v>0</v>
      </c>
      <c r="DC131">
        <f>SUM(BN131:BY131)</f>
        <v>0</v>
      </c>
      <c r="DD131">
        <f>SUM(BZ131:CK131)</f>
        <v>1757.1799999999998</v>
      </c>
      <c r="DE131">
        <f>SUM(CL131:CW131)</f>
        <v>1908.04</v>
      </c>
      <c r="DF131">
        <f>SUM(F131:CW131)</f>
        <v>3665.22</v>
      </c>
    </row>
    <row r="132" spans="1:110"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c r="CX132">
        <f>SUM(F132:Q132)</f>
        <v>0</v>
      </c>
      <c r="CY132">
        <f>SUM(R132:AC132)</f>
        <v>0</v>
      </c>
      <c r="CZ132">
        <f>SUM(AD132:AO132)</f>
        <v>0</v>
      </c>
      <c r="DA132">
        <f>SUM(AP132:BA132)</f>
        <v>0</v>
      </c>
      <c r="DB132">
        <f>SUM(BB132:BM132)</f>
        <v>0</v>
      </c>
      <c r="DC132">
        <f>SUM(BN132:BY132)</f>
        <v>0</v>
      </c>
      <c r="DD132">
        <f>SUM(BZ132:CK132)</f>
        <v>877.23</v>
      </c>
      <c r="DE132">
        <f>SUM(CL132:CW132)</f>
        <v>7771.68</v>
      </c>
      <c r="DF132">
        <f>SUM(F132:CW132)</f>
        <v>8648.91</v>
      </c>
    </row>
    <row r="133" spans="1:110"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c r="CX133">
        <f>SUM(F133:Q133)</f>
        <v>0</v>
      </c>
      <c r="CY133">
        <f>SUM(R133:AC133)</f>
        <v>0</v>
      </c>
      <c r="CZ133">
        <f>SUM(AD133:AO133)</f>
        <v>0</v>
      </c>
      <c r="DA133">
        <f>SUM(AP133:BA133)</f>
        <v>0</v>
      </c>
      <c r="DB133">
        <f>SUM(BB133:BM133)</f>
        <v>0</v>
      </c>
      <c r="DC133">
        <f>SUM(BN133:BY133)</f>
        <v>0</v>
      </c>
      <c r="DD133">
        <f>SUM(BZ133:CK133)</f>
        <v>0</v>
      </c>
      <c r="DE133">
        <f>SUM(CL133:CW133)</f>
        <v>1212.8699999999999</v>
      </c>
      <c r="DF133">
        <f>SUM(F133:CW133)</f>
        <v>1212.8699999999999</v>
      </c>
    </row>
    <row r="134" spans="1:110"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c r="CX134">
        <f>SUM(F134:Q134)</f>
        <v>0</v>
      </c>
      <c r="CY134">
        <f>SUM(R134:AC134)</f>
        <v>0</v>
      </c>
      <c r="CZ134">
        <f>SUM(AD134:AO134)</f>
        <v>0</v>
      </c>
      <c r="DA134">
        <f>SUM(AP134:BA134)</f>
        <v>0</v>
      </c>
      <c r="DB134">
        <f>SUM(BB134:BM134)</f>
        <v>0</v>
      </c>
      <c r="DC134">
        <f>SUM(BN134:BY134)</f>
        <v>3813.7</v>
      </c>
      <c r="DD134">
        <f>SUM(BZ134:CK134)</f>
        <v>227.67</v>
      </c>
      <c r="DE134">
        <f>SUM(CL134:CW134)</f>
        <v>0</v>
      </c>
      <c r="DF134">
        <f>SUM(F134:CW134)</f>
        <v>4041.37</v>
      </c>
    </row>
    <row r="135" spans="1:110"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c r="CX135">
        <f>SUM(F135:Q135)</f>
        <v>0</v>
      </c>
      <c r="CY135">
        <f>SUM(R135:AC135)</f>
        <v>0</v>
      </c>
      <c r="CZ135">
        <f>SUM(AD135:AO135)</f>
        <v>1256.94</v>
      </c>
      <c r="DA135">
        <f>SUM(AP135:BA135)</f>
        <v>548.39</v>
      </c>
      <c r="DB135">
        <f>SUM(BB135:BM135)</f>
        <v>0</v>
      </c>
      <c r="DC135">
        <f>SUM(BN135:BY135)</f>
        <v>0</v>
      </c>
      <c r="DD135">
        <f>SUM(BZ135:CK135)</f>
        <v>0</v>
      </c>
      <c r="DE135">
        <f>SUM(CL135:CW135)</f>
        <v>0</v>
      </c>
      <c r="DF135">
        <f>SUM(F135:CW135)</f>
        <v>1805.33</v>
      </c>
    </row>
    <row r="136" spans="1:110"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c r="CX136">
        <f>SUM(F136:Q136)</f>
        <v>2258.39</v>
      </c>
      <c r="CY136">
        <f>SUM(R136:AC136)</f>
        <v>2638.21</v>
      </c>
      <c r="CZ136">
        <f>SUM(AD136:AO136)</f>
        <v>0</v>
      </c>
      <c r="DA136">
        <f>SUM(AP136:BA136)</f>
        <v>0</v>
      </c>
      <c r="DB136">
        <f>SUM(BB136:BM136)</f>
        <v>0</v>
      </c>
      <c r="DC136">
        <f>SUM(BN136:BY136)</f>
        <v>0</v>
      </c>
      <c r="DD136">
        <f>SUM(BZ136:CK136)</f>
        <v>0</v>
      </c>
      <c r="DE136">
        <f>SUM(CL136:CW136)</f>
        <v>0</v>
      </c>
      <c r="DF136">
        <f>SUM(F136:CW136)</f>
        <v>4896.5999999999995</v>
      </c>
    </row>
    <row r="137" spans="1:110"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c r="CX137">
        <f>SUM(F137:Q137)</f>
        <v>0</v>
      </c>
      <c r="CY137">
        <f>SUM(R137:AC137)</f>
        <v>4165.09</v>
      </c>
      <c r="CZ137">
        <f>SUM(AD137:AO137)</f>
        <v>280.02</v>
      </c>
      <c r="DA137">
        <f>SUM(AP137:BA137)</f>
        <v>0</v>
      </c>
      <c r="DB137">
        <f>SUM(BB137:BM137)</f>
        <v>0</v>
      </c>
      <c r="DC137">
        <f>SUM(BN137:BY137)</f>
        <v>0</v>
      </c>
      <c r="DD137">
        <f>SUM(BZ137:CK137)</f>
        <v>0</v>
      </c>
      <c r="DE137">
        <f>SUM(CL137:CW137)</f>
        <v>0</v>
      </c>
      <c r="DF137">
        <f>SUM(F137:CW137)</f>
        <v>4445.1100000000006</v>
      </c>
    </row>
    <row r="138" spans="1:110"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c r="CX138">
        <f>SUM(F138:Q138)</f>
        <v>0</v>
      </c>
      <c r="CY138">
        <f>SUM(R138:AC138)</f>
        <v>0</v>
      </c>
      <c r="CZ138">
        <f>SUM(AD138:AO138)</f>
        <v>0</v>
      </c>
      <c r="DA138">
        <f>SUM(AP138:BA138)</f>
        <v>0</v>
      </c>
      <c r="DB138">
        <f>SUM(BB138:BM138)</f>
        <v>0</v>
      </c>
      <c r="DC138">
        <f>SUM(BN138:BY138)</f>
        <v>0</v>
      </c>
      <c r="DD138">
        <f>SUM(BZ138:CK138)</f>
        <v>1310.42</v>
      </c>
      <c r="DE138">
        <f>SUM(CL138:CW138)</f>
        <v>4346.6799999999994</v>
      </c>
      <c r="DF138">
        <f>SUM(F138:CW138)</f>
        <v>5657.0999999999995</v>
      </c>
    </row>
    <row r="139" spans="1:110"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c r="CX139">
        <f>SUM(F139:Q139)</f>
        <v>0</v>
      </c>
      <c r="CY139">
        <f>SUM(R139:AC139)</f>
        <v>0</v>
      </c>
      <c r="CZ139">
        <f>SUM(AD139:AO139)</f>
        <v>0</v>
      </c>
      <c r="DA139">
        <f>SUM(AP139:BA139)</f>
        <v>4529.25</v>
      </c>
      <c r="DB139">
        <f>SUM(BB139:BM139)</f>
        <v>12814.41</v>
      </c>
      <c r="DC139">
        <f>SUM(BN139:BY139)</f>
        <v>0</v>
      </c>
      <c r="DD139">
        <f>SUM(BZ139:CK139)</f>
        <v>0</v>
      </c>
      <c r="DE139">
        <f>SUM(CL139:CW139)</f>
        <v>0</v>
      </c>
      <c r="DF139">
        <f>SUM(F139:CW139)</f>
        <v>17343.660000000003</v>
      </c>
    </row>
    <row r="140" spans="1:110"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c r="CX140">
        <f>SUM(F140:Q140)</f>
        <v>0</v>
      </c>
      <c r="CY140">
        <f>SUM(R140:AC140)</f>
        <v>0</v>
      </c>
      <c r="CZ140">
        <f>SUM(AD140:AO140)</f>
        <v>3142.7300000000005</v>
      </c>
      <c r="DA140">
        <f>SUM(AP140:BA140)</f>
        <v>0</v>
      </c>
      <c r="DB140">
        <f>SUM(BB140:BM140)</f>
        <v>0</v>
      </c>
      <c r="DC140">
        <f>SUM(BN140:BY140)</f>
        <v>0</v>
      </c>
      <c r="DD140">
        <f>SUM(BZ140:CK140)</f>
        <v>0</v>
      </c>
      <c r="DE140">
        <f>SUM(CL140:CW140)</f>
        <v>0</v>
      </c>
      <c r="DF140">
        <f>SUM(F140:CW140)</f>
        <v>3142.7300000000005</v>
      </c>
    </row>
    <row r="141" spans="1:110"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c r="CX141">
        <f>SUM(F141:Q141)</f>
        <v>0</v>
      </c>
      <c r="CY141">
        <f>SUM(R141:AC141)</f>
        <v>0</v>
      </c>
      <c r="CZ141">
        <f>SUM(AD141:AO141)</f>
        <v>0</v>
      </c>
      <c r="DA141">
        <f>SUM(AP141:BA141)</f>
        <v>1612.6</v>
      </c>
      <c r="DB141">
        <f>SUM(BB141:BM141)</f>
        <v>5474.52</v>
      </c>
      <c r="DC141">
        <f>SUM(BN141:BY141)</f>
        <v>1801.59</v>
      </c>
      <c r="DD141">
        <f>SUM(BZ141:CK141)</f>
        <v>0</v>
      </c>
      <c r="DE141">
        <f>SUM(CL141:CW141)</f>
        <v>0</v>
      </c>
      <c r="DF141">
        <f>SUM(F141:CW141)</f>
        <v>8888.7099999999991</v>
      </c>
    </row>
    <row r="142" spans="1:110"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c r="CX142">
        <f>SUM(F142:Q142)</f>
        <v>0</v>
      </c>
      <c r="CY142">
        <f>SUM(R142:AC142)</f>
        <v>0</v>
      </c>
      <c r="CZ142">
        <f>SUM(AD142:AO142)</f>
        <v>0</v>
      </c>
      <c r="DA142">
        <f>SUM(AP142:BA142)</f>
        <v>0</v>
      </c>
      <c r="DB142">
        <f>SUM(BB142:BM142)</f>
        <v>3498.7300000000005</v>
      </c>
      <c r="DC142">
        <f>SUM(BN142:BY142)</f>
        <v>0</v>
      </c>
      <c r="DD142">
        <f>SUM(BZ142:CK142)</f>
        <v>0</v>
      </c>
      <c r="DE142">
        <f>SUM(CL142:CW142)</f>
        <v>0</v>
      </c>
      <c r="DF142">
        <f>SUM(F142:CW142)</f>
        <v>3498.7300000000005</v>
      </c>
    </row>
    <row r="143" spans="1:110"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c r="CX143">
        <f>SUM(F143:Q143)</f>
        <v>0</v>
      </c>
      <c r="CY143">
        <f>SUM(R143:AC143)</f>
        <v>0</v>
      </c>
      <c r="CZ143">
        <f>SUM(AD143:AO143)</f>
        <v>36659.35</v>
      </c>
      <c r="DA143">
        <f>SUM(AP143:BA143)</f>
        <v>11676.31</v>
      </c>
      <c r="DB143">
        <f>SUM(BB143:BM143)</f>
        <v>0</v>
      </c>
      <c r="DC143">
        <f>SUM(BN143:BY143)</f>
        <v>0</v>
      </c>
      <c r="DD143">
        <f>SUM(BZ143:CK143)</f>
        <v>0</v>
      </c>
      <c r="DE143">
        <f>SUM(CL143:CW143)</f>
        <v>0</v>
      </c>
      <c r="DF143">
        <f>SUM(F143:CW143)</f>
        <v>48335.66</v>
      </c>
    </row>
    <row r="144" spans="1:110"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c r="CX144">
        <f>SUM(F144:Q144)</f>
        <v>0</v>
      </c>
      <c r="CY144">
        <f>SUM(R144:AC144)</f>
        <v>0</v>
      </c>
      <c r="CZ144">
        <f>SUM(AD144:AO144)</f>
        <v>0</v>
      </c>
      <c r="DA144">
        <f>SUM(AP144:BA144)</f>
        <v>0</v>
      </c>
      <c r="DB144">
        <f>SUM(BB144:BM144)</f>
        <v>0</v>
      </c>
      <c r="DC144">
        <f>SUM(BN144:BY144)</f>
        <v>4643.96</v>
      </c>
      <c r="DD144">
        <f>SUM(BZ144:CK144)</f>
        <v>0</v>
      </c>
      <c r="DE144">
        <f>SUM(CL144:CW144)</f>
        <v>0</v>
      </c>
      <c r="DF144">
        <f>SUM(F144:CW144)</f>
        <v>4643.96</v>
      </c>
    </row>
    <row r="145" spans="1:110"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c r="CX145">
        <f>SUM(F145:Q145)</f>
        <v>0</v>
      </c>
      <c r="CY145">
        <f>SUM(R145:AC145)</f>
        <v>0</v>
      </c>
      <c r="CZ145">
        <f>SUM(AD145:AO145)</f>
        <v>0</v>
      </c>
      <c r="DA145">
        <f>SUM(AP145:BA145)</f>
        <v>0</v>
      </c>
      <c r="DB145">
        <f>SUM(BB145:BM145)</f>
        <v>0</v>
      </c>
      <c r="DC145">
        <f>SUM(BN145:BY145)</f>
        <v>0</v>
      </c>
      <c r="DD145">
        <f>SUM(BZ145:CK145)</f>
        <v>0</v>
      </c>
      <c r="DE145">
        <f>SUM(CL145:CW145)</f>
        <v>915.64</v>
      </c>
      <c r="DF145">
        <f>SUM(F145:CW145)</f>
        <v>915.64</v>
      </c>
    </row>
    <row r="146" spans="1:110"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c r="CX146">
        <f>SUM(F146:Q146)</f>
        <v>0</v>
      </c>
      <c r="CY146">
        <f>SUM(R146:AC146)</f>
        <v>0</v>
      </c>
      <c r="CZ146">
        <f>SUM(AD146:AO146)</f>
        <v>0</v>
      </c>
      <c r="DA146">
        <f>SUM(AP146:BA146)</f>
        <v>0</v>
      </c>
      <c r="DB146">
        <f>SUM(BB146:BM146)</f>
        <v>0</v>
      </c>
      <c r="DC146">
        <f>SUM(BN146:BY146)</f>
        <v>7085.99</v>
      </c>
      <c r="DD146">
        <f>SUM(BZ146:CK146)</f>
        <v>0</v>
      </c>
      <c r="DE146">
        <f>SUM(CL146:CW146)</f>
        <v>0</v>
      </c>
      <c r="DF146">
        <f>SUM(F146:CW146)</f>
        <v>7085.99</v>
      </c>
    </row>
    <row r="147" spans="1:110"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c r="CX147">
        <f>SUM(F147:Q147)</f>
        <v>0</v>
      </c>
      <c r="CY147">
        <f>SUM(R147:AC147)</f>
        <v>0</v>
      </c>
      <c r="CZ147">
        <f>SUM(AD147:AO147)</f>
        <v>0</v>
      </c>
      <c r="DA147">
        <f>SUM(AP147:BA147)</f>
        <v>0</v>
      </c>
      <c r="DB147">
        <f>SUM(BB147:BM147)</f>
        <v>0</v>
      </c>
      <c r="DC147">
        <f>SUM(BN147:BY147)</f>
        <v>0</v>
      </c>
      <c r="DD147">
        <f>SUM(BZ147:CK147)</f>
        <v>3829.14</v>
      </c>
      <c r="DE147">
        <f>SUM(CL147:CW147)</f>
        <v>872.22</v>
      </c>
      <c r="DF147">
        <f>SUM(F147:CW147)</f>
        <v>4701.3599999999997</v>
      </c>
    </row>
    <row r="148" spans="1:110"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c r="CX148">
        <f>SUM(F148:Q148)</f>
        <v>0</v>
      </c>
      <c r="CY148">
        <f>SUM(R148:AC148)</f>
        <v>0</v>
      </c>
      <c r="CZ148">
        <f>SUM(AD148:AO148)</f>
        <v>0</v>
      </c>
      <c r="DA148">
        <f>SUM(AP148:BA148)</f>
        <v>0</v>
      </c>
      <c r="DB148">
        <f>SUM(BB148:BM148)</f>
        <v>0</v>
      </c>
      <c r="DC148">
        <f>SUM(BN148:BY148)</f>
        <v>0</v>
      </c>
      <c r="DD148">
        <f>SUM(BZ148:CK148)</f>
        <v>0</v>
      </c>
      <c r="DE148">
        <f>SUM(CL148:CW148)</f>
        <v>2133.7800000000002</v>
      </c>
      <c r="DF148">
        <f>SUM(F148:CW148)</f>
        <v>2133.7800000000002</v>
      </c>
    </row>
    <row r="149" spans="1:110"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c r="CX149">
        <f>SUM(F149:Q149)</f>
        <v>0</v>
      </c>
      <c r="CY149">
        <f>SUM(R149:AC149)</f>
        <v>0</v>
      </c>
      <c r="CZ149">
        <f>SUM(AD149:AO149)</f>
        <v>2784.56</v>
      </c>
      <c r="DA149">
        <f>SUM(AP149:BA149)</f>
        <v>0</v>
      </c>
      <c r="DB149">
        <f>SUM(BB149:BM149)</f>
        <v>0</v>
      </c>
      <c r="DC149">
        <f>SUM(BN149:BY149)</f>
        <v>0</v>
      </c>
      <c r="DD149">
        <f>SUM(BZ149:CK149)</f>
        <v>0</v>
      </c>
      <c r="DE149">
        <f>SUM(CL149:CW149)</f>
        <v>0</v>
      </c>
      <c r="DF149">
        <f>SUM(F149:CW149)</f>
        <v>2784.56</v>
      </c>
    </row>
    <row r="150" spans="1:110"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c r="CX150">
        <f>SUM(F150:Q150)</f>
        <v>0</v>
      </c>
      <c r="CY150">
        <f>SUM(R150:AC150)</f>
        <v>6595.49</v>
      </c>
      <c r="CZ150">
        <f>SUM(AD150:AO150)</f>
        <v>604.07000000000005</v>
      </c>
      <c r="DA150">
        <f>SUM(AP150:BA150)</f>
        <v>0</v>
      </c>
      <c r="DB150">
        <f>SUM(BB150:BM150)</f>
        <v>0</v>
      </c>
      <c r="DC150">
        <f>SUM(BN150:BY150)</f>
        <v>0</v>
      </c>
      <c r="DD150">
        <f>SUM(BZ150:CK150)</f>
        <v>0</v>
      </c>
      <c r="DE150">
        <f>SUM(CL150:CW150)</f>
        <v>0</v>
      </c>
      <c r="DF150">
        <f>SUM(F150:CW150)</f>
        <v>7199.5599999999995</v>
      </c>
    </row>
    <row r="151" spans="1:110"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c r="CX151">
        <f>SUM(F151:Q151)</f>
        <v>0</v>
      </c>
      <c r="CY151">
        <f>SUM(R151:AC151)</f>
        <v>0</v>
      </c>
      <c r="CZ151">
        <f>SUM(AD151:AO151)</f>
        <v>0</v>
      </c>
      <c r="DA151">
        <f>SUM(AP151:BA151)</f>
        <v>0</v>
      </c>
      <c r="DB151">
        <f>SUM(BB151:BM151)</f>
        <v>3511.05</v>
      </c>
      <c r="DC151">
        <f>SUM(BN151:BY151)</f>
        <v>0</v>
      </c>
      <c r="DD151">
        <f>SUM(BZ151:CK151)</f>
        <v>0</v>
      </c>
      <c r="DE151">
        <f>SUM(CL151:CW151)</f>
        <v>0</v>
      </c>
      <c r="DF151">
        <f>SUM(F151:CW151)</f>
        <v>3511.05</v>
      </c>
    </row>
    <row r="152" spans="1:110"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c r="CX152">
        <f>SUM(F152:Q152)</f>
        <v>0</v>
      </c>
      <c r="CY152">
        <f>SUM(R152:AC152)</f>
        <v>0</v>
      </c>
      <c r="CZ152">
        <f>SUM(AD152:AO152)</f>
        <v>0</v>
      </c>
      <c r="DA152">
        <f>SUM(AP152:BA152)</f>
        <v>0</v>
      </c>
      <c r="DB152">
        <f>SUM(BB152:BM152)</f>
        <v>0</v>
      </c>
      <c r="DC152">
        <f>SUM(BN152:BY152)</f>
        <v>5251.1</v>
      </c>
      <c r="DD152">
        <f>SUM(BZ152:CK152)</f>
        <v>758.12</v>
      </c>
      <c r="DE152">
        <f>SUM(CL152:CW152)</f>
        <v>0</v>
      </c>
      <c r="DF152">
        <f>SUM(F152:CW152)</f>
        <v>6009.22</v>
      </c>
    </row>
    <row r="153" spans="1:110"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c r="CX153">
        <f>SUM(F153:Q153)</f>
        <v>0</v>
      </c>
      <c r="CY153">
        <f>SUM(R153:AC153)</f>
        <v>0</v>
      </c>
      <c r="CZ153">
        <f>SUM(AD153:AO153)</f>
        <v>0</v>
      </c>
      <c r="DA153">
        <f>SUM(AP153:BA153)</f>
        <v>0</v>
      </c>
      <c r="DB153">
        <f>SUM(BB153:BM153)</f>
        <v>0</v>
      </c>
      <c r="DC153">
        <f>SUM(BN153:BY153)</f>
        <v>0</v>
      </c>
      <c r="DD153">
        <f>SUM(BZ153:CK153)</f>
        <v>0</v>
      </c>
      <c r="DE153">
        <f>SUM(CL153:CW153)</f>
        <v>4937.75</v>
      </c>
      <c r="DF153">
        <f>SUM(F153:CW153)</f>
        <v>4937.75</v>
      </c>
    </row>
    <row r="154" spans="1:110"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c r="CX154">
        <f>SUM(F154:Q154)</f>
        <v>0</v>
      </c>
      <c r="CY154">
        <f>SUM(R154:AC154)</f>
        <v>0</v>
      </c>
      <c r="CZ154">
        <f>SUM(AD154:AO154)</f>
        <v>0</v>
      </c>
      <c r="DA154">
        <f>SUM(AP154:BA154)</f>
        <v>8804.18</v>
      </c>
      <c r="DB154">
        <f>SUM(BB154:BM154)</f>
        <v>0</v>
      </c>
      <c r="DC154">
        <f>SUM(BN154:BY154)</f>
        <v>0</v>
      </c>
      <c r="DD154">
        <f>SUM(BZ154:CK154)</f>
        <v>0</v>
      </c>
      <c r="DE154">
        <f>SUM(CL154:CW154)</f>
        <v>0</v>
      </c>
      <c r="DF154">
        <f>SUM(F154:CW154)</f>
        <v>8804.18</v>
      </c>
    </row>
    <row r="155" spans="1:110"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c r="CX155">
        <f>SUM(F155:Q155)</f>
        <v>0</v>
      </c>
      <c r="CY155">
        <f>SUM(R155:AC155)</f>
        <v>0</v>
      </c>
      <c r="CZ155">
        <f>SUM(AD155:AO155)</f>
        <v>0</v>
      </c>
      <c r="DA155">
        <f>SUM(AP155:BA155)</f>
        <v>0</v>
      </c>
      <c r="DB155">
        <f>SUM(BB155:BM155)</f>
        <v>0</v>
      </c>
      <c r="DC155">
        <f>SUM(BN155:BY155)</f>
        <v>6931.2</v>
      </c>
      <c r="DD155">
        <f>SUM(BZ155:CK155)</f>
        <v>0</v>
      </c>
      <c r="DE155">
        <f>SUM(CL155:CW155)</f>
        <v>0</v>
      </c>
      <c r="DF155">
        <f>SUM(F155:CW155)</f>
        <v>6931.2</v>
      </c>
    </row>
    <row r="156" spans="1:110"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c r="CX156">
        <f>SUM(F156:Q156)</f>
        <v>0</v>
      </c>
      <c r="CY156">
        <f>SUM(R156:AC156)</f>
        <v>5545.92</v>
      </c>
      <c r="CZ156">
        <f>SUM(AD156:AO156)</f>
        <v>1126.01</v>
      </c>
      <c r="DA156">
        <f>SUM(AP156:BA156)</f>
        <v>0</v>
      </c>
      <c r="DB156">
        <f>SUM(BB156:BM156)</f>
        <v>0</v>
      </c>
      <c r="DC156">
        <f>SUM(BN156:BY156)</f>
        <v>0</v>
      </c>
      <c r="DD156">
        <f>SUM(BZ156:CK156)</f>
        <v>0</v>
      </c>
      <c r="DE156">
        <f>SUM(CL156:CW156)</f>
        <v>0</v>
      </c>
      <c r="DF156">
        <f>SUM(F156:CW156)</f>
        <v>6671.93</v>
      </c>
    </row>
    <row r="157" spans="1:110"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c r="CX157">
        <f>SUM(F157:Q157)</f>
        <v>0</v>
      </c>
      <c r="CY157">
        <f>SUM(R157:AC157)</f>
        <v>4573.3</v>
      </c>
      <c r="CZ157">
        <f>SUM(AD157:AO157)</f>
        <v>680.27</v>
      </c>
      <c r="DA157">
        <f>SUM(AP157:BA157)</f>
        <v>0</v>
      </c>
      <c r="DB157">
        <f>SUM(BB157:BM157)</f>
        <v>0</v>
      </c>
      <c r="DC157">
        <f>SUM(BN157:BY157)</f>
        <v>0</v>
      </c>
      <c r="DD157">
        <f>SUM(BZ157:CK157)</f>
        <v>0</v>
      </c>
      <c r="DE157">
        <f>SUM(CL157:CW157)</f>
        <v>0</v>
      </c>
      <c r="DF157">
        <f>SUM(F157:CW157)</f>
        <v>5253.57</v>
      </c>
    </row>
    <row r="158" spans="1:110"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c r="CX158">
        <f>SUM(F158:Q158)</f>
        <v>0</v>
      </c>
      <c r="CY158">
        <f>SUM(R158:AC158)</f>
        <v>0</v>
      </c>
      <c r="CZ158">
        <f>SUM(AD158:AO158)</f>
        <v>0</v>
      </c>
      <c r="DA158">
        <f>SUM(AP158:BA158)</f>
        <v>0</v>
      </c>
      <c r="DB158">
        <f>SUM(BB158:BM158)</f>
        <v>0</v>
      </c>
      <c r="DC158">
        <f>SUM(BN158:BY158)</f>
        <v>0</v>
      </c>
      <c r="DD158">
        <f>SUM(BZ158:CK158)</f>
        <v>3432.29</v>
      </c>
      <c r="DE158">
        <f>SUM(CL158:CW158)</f>
        <v>0</v>
      </c>
      <c r="DF158">
        <f>SUM(F158:CW158)</f>
        <v>3432.29</v>
      </c>
    </row>
    <row r="159" spans="1:110"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c r="CX159">
        <f>SUM(F159:Q159)</f>
        <v>0</v>
      </c>
      <c r="CY159">
        <f>SUM(R159:AC159)</f>
        <v>0</v>
      </c>
      <c r="CZ159">
        <f>SUM(AD159:AO159)</f>
        <v>11826.5</v>
      </c>
      <c r="DA159">
        <f>SUM(AP159:BA159)</f>
        <v>8806.83</v>
      </c>
      <c r="DB159">
        <f>SUM(BB159:BM159)</f>
        <v>0</v>
      </c>
      <c r="DC159">
        <f>SUM(BN159:BY159)</f>
        <v>0</v>
      </c>
      <c r="DD159">
        <f>SUM(BZ159:CK159)</f>
        <v>0</v>
      </c>
      <c r="DE159">
        <f>SUM(CL159:CW159)</f>
        <v>0</v>
      </c>
      <c r="DF159">
        <f>SUM(F159:CW159)</f>
        <v>20633.330000000002</v>
      </c>
    </row>
    <row r="160" spans="1:110"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c r="CX160">
        <f>SUM(F160:Q160)</f>
        <v>0</v>
      </c>
      <c r="CY160">
        <f>SUM(R160:AC160)</f>
        <v>0</v>
      </c>
      <c r="CZ160">
        <f>SUM(AD160:AO160)</f>
        <v>0</v>
      </c>
      <c r="DA160">
        <f>SUM(AP160:BA160)</f>
        <v>0</v>
      </c>
      <c r="DB160">
        <f>SUM(BB160:BM160)</f>
        <v>0</v>
      </c>
      <c r="DC160">
        <f>SUM(BN160:BY160)</f>
        <v>0</v>
      </c>
      <c r="DD160">
        <f>SUM(BZ160:CK160)</f>
        <v>0</v>
      </c>
      <c r="DE160">
        <f>SUM(CL160:CW160)</f>
        <v>1461.9499999999998</v>
      </c>
      <c r="DF160">
        <f>SUM(F160:CW160)</f>
        <v>1461.9499999999998</v>
      </c>
    </row>
    <row r="161" spans="1:110"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c r="CX161">
        <f>SUM(F161:Q161)</f>
        <v>0</v>
      </c>
      <c r="CY161">
        <f>SUM(R161:AC161)</f>
        <v>0</v>
      </c>
      <c r="CZ161">
        <f>SUM(AD161:AO161)</f>
        <v>0</v>
      </c>
      <c r="DA161">
        <f>SUM(AP161:BA161)</f>
        <v>0</v>
      </c>
      <c r="DB161">
        <f>SUM(BB161:BM161)</f>
        <v>0</v>
      </c>
      <c r="DC161">
        <f>SUM(BN161:BY161)</f>
        <v>1903</v>
      </c>
      <c r="DD161">
        <f>SUM(BZ161:CK161)</f>
        <v>294.99</v>
      </c>
      <c r="DE161">
        <f>SUM(CL161:CW161)</f>
        <v>0</v>
      </c>
      <c r="DF161">
        <f>SUM(F161:CW161)</f>
        <v>2197.9899999999998</v>
      </c>
    </row>
    <row r="162" spans="1:110"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c r="CX162">
        <f>SUM(F162:Q162)</f>
        <v>0</v>
      </c>
      <c r="CY162">
        <f>SUM(R162:AC162)</f>
        <v>0</v>
      </c>
      <c r="CZ162">
        <f>SUM(AD162:AO162)</f>
        <v>0</v>
      </c>
      <c r="DA162">
        <f>SUM(AP162:BA162)</f>
        <v>4230.3899999999994</v>
      </c>
      <c r="DB162">
        <f>SUM(BB162:BM162)</f>
        <v>5596.82</v>
      </c>
      <c r="DC162">
        <f>SUM(BN162:BY162)</f>
        <v>0</v>
      </c>
      <c r="DD162">
        <f>SUM(BZ162:CK162)</f>
        <v>0</v>
      </c>
      <c r="DE162">
        <f>SUM(CL162:CW162)</f>
        <v>0</v>
      </c>
      <c r="DF162">
        <f>SUM(F162:CW162)</f>
        <v>9827.2099999999991</v>
      </c>
    </row>
    <row r="163" spans="1:110"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c r="CX163">
        <f>SUM(F163:Q163)</f>
        <v>10505.68</v>
      </c>
      <c r="CY163">
        <f>SUM(R163:AC163)</f>
        <v>8045.59</v>
      </c>
      <c r="CZ163">
        <f>SUM(AD163:AO163)</f>
        <v>995.87</v>
      </c>
      <c r="DA163">
        <f>SUM(AP163:BA163)</f>
        <v>0</v>
      </c>
      <c r="DB163">
        <f>SUM(BB163:BM163)</f>
        <v>0</v>
      </c>
      <c r="DC163">
        <f>SUM(BN163:BY163)</f>
        <v>0</v>
      </c>
      <c r="DD163">
        <f>SUM(BZ163:CK163)</f>
        <v>0</v>
      </c>
      <c r="DE163">
        <f>SUM(CL163:CW163)</f>
        <v>0</v>
      </c>
      <c r="DF163">
        <f>SUM(F163:CW163)</f>
        <v>19547.14</v>
      </c>
    </row>
    <row r="164" spans="1:110"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c r="CX164">
        <f>SUM(F164:Q164)</f>
        <v>0</v>
      </c>
      <c r="CY164">
        <f>SUM(R164:AC164)</f>
        <v>0</v>
      </c>
      <c r="CZ164">
        <f>SUM(AD164:AO164)</f>
        <v>0</v>
      </c>
      <c r="DA164">
        <f>SUM(AP164:BA164)</f>
        <v>289.25</v>
      </c>
      <c r="DB164">
        <f>SUM(BB164:BM164)</f>
        <v>1723.77</v>
      </c>
      <c r="DC164">
        <f>SUM(BN164:BY164)</f>
        <v>0</v>
      </c>
      <c r="DD164">
        <f>SUM(BZ164:CK164)</f>
        <v>0</v>
      </c>
      <c r="DE164">
        <f>SUM(CL164:CW164)</f>
        <v>0</v>
      </c>
      <c r="DF164">
        <f>SUM(F164:CW164)</f>
        <v>2013.02</v>
      </c>
    </row>
    <row r="165" spans="1:110"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c r="CX165">
        <f>SUM(F165:Q165)</f>
        <v>0</v>
      </c>
      <c r="CY165">
        <f>SUM(R165:AC165)</f>
        <v>0</v>
      </c>
      <c r="CZ165">
        <f>SUM(AD165:AO165)</f>
        <v>0</v>
      </c>
      <c r="DA165">
        <f>SUM(AP165:BA165)</f>
        <v>0</v>
      </c>
      <c r="DB165">
        <f>SUM(BB165:BM165)</f>
        <v>0</v>
      </c>
      <c r="DC165">
        <f>SUM(BN165:BY165)</f>
        <v>0</v>
      </c>
      <c r="DD165">
        <f>SUM(BZ165:CK165)</f>
        <v>0</v>
      </c>
      <c r="DE165">
        <f>SUM(CL165:CW165)</f>
        <v>3403.61</v>
      </c>
      <c r="DF165">
        <f>SUM(F165:CW165)</f>
        <v>3403.61</v>
      </c>
    </row>
    <row r="166" spans="1:110"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c r="CX166">
        <f>SUM(F166:Q166)</f>
        <v>0</v>
      </c>
      <c r="CY166">
        <f>SUM(R166:AC166)</f>
        <v>0</v>
      </c>
      <c r="CZ166">
        <f>SUM(AD166:AO166)</f>
        <v>950.38</v>
      </c>
      <c r="DA166">
        <f>SUM(AP166:BA166)</f>
        <v>3189.01</v>
      </c>
      <c r="DB166">
        <f>SUM(BB166:BM166)</f>
        <v>0</v>
      </c>
      <c r="DC166">
        <f>SUM(BN166:BY166)</f>
        <v>0</v>
      </c>
      <c r="DD166">
        <f>SUM(BZ166:CK166)</f>
        <v>0</v>
      </c>
      <c r="DE166">
        <f>SUM(CL166:CW166)</f>
        <v>0</v>
      </c>
      <c r="DF166">
        <f>SUM(F166:CW166)</f>
        <v>4139.3899999999994</v>
      </c>
    </row>
    <row r="167" spans="1:110"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c r="CX167">
        <f>SUM(F167:Q167)</f>
        <v>0</v>
      </c>
      <c r="CY167">
        <f>SUM(R167:AC167)</f>
        <v>2980.94</v>
      </c>
      <c r="CZ167">
        <f>SUM(AD167:AO167)</f>
        <v>1638.32</v>
      </c>
      <c r="DA167">
        <f>SUM(AP167:BA167)</f>
        <v>0</v>
      </c>
      <c r="DB167">
        <f>SUM(BB167:BM167)</f>
        <v>0</v>
      </c>
      <c r="DC167">
        <f>SUM(BN167:BY167)</f>
        <v>0</v>
      </c>
      <c r="DD167">
        <f>SUM(BZ167:CK167)</f>
        <v>0</v>
      </c>
      <c r="DE167">
        <f>SUM(CL167:CW167)</f>
        <v>0</v>
      </c>
      <c r="DF167">
        <f>SUM(F167:CW167)</f>
        <v>4619.26</v>
      </c>
    </row>
    <row r="168" spans="1:110"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c r="CX168">
        <f>SUM(F168:Q168)</f>
        <v>5210.28</v>
      </c>
      <c r="CY168">
        <f>SUM(R168:AC168)</f>
        <v>0</v>
      </c>
      <c r="CZ168">
        <f>SUM(AD168:AO168)</f>
        <v>0</v>
      </c>
      <c r="DA168">
        <f>SUM(AP168:BA168)</f>
        <v>0</v>
      </c>
      <c r="DB168">
        <f>SUM(BB168:BM168)</f>
        <v>0</v>
      </c>
      <c r="DC168">
        <f>SUM(BN168:BY168)</f>
        <v>0</v>
      </c>
      <c r="DD168">
        <f>SUM(BZ168:CK168)</f>
        <v>0</v>
      </c>
      <c r="DE168">
        <f>SUM(CL168:CW168)</f>
        <v>0</v>
      </c>
      <c r="DF168">
        <f>SUM(F168:CW168)</f>
        <v>5210.28</v>
      </c>
    </row>
    <row r="169" spans="1:110"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c r="CX169">
        <f>SUM(F169:Q169)</f>
        <v>0</v>
      </c>
      <c r="CY169">
        <f>SUM(R169:AC169)</f>
        <v>0</v>
      </c>
      <c r="CZ169">
        <f>SUM(AD169:AO169)</f>
        <v>0</v>
      </c>
      <c r="DA169">
        <f>SUM(AP169:BA169)</f>
        <v>0</v>
      </c>
      <c r="DB169">
        <f>SUM(BB169:BM169)</f>
        <v>0</v>
      </c>
      <c r="DC169">
        <f>SUM(BN169:BY169)</f>
        <v>8228.2000000000007</v>
      </c>
      <c r="DD169">
        <f>SUM(BZ169:CK169)</f>
        <v>9240.880000000001</v>
      </c>
      <c r="DE169">
        <f>SUM(CL169:CW169)</f>
        <v>2982.4500000000003</v>
      </c>
      <c r="DF169">
        <f>SUM(F169:CW169)</f>
        <v>20451.530000000002</v>
      </c>
    </row>
    <row r="170" spans="1:110"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c r="CX170">
        <f>SUM(F170:Q170)</f>
        <v>0</v>
      </c>
      <c r="CY170">
        <f>SUM(R170:AC170)</f>
        <v>0</v>
      </c>
      <c r="CZ170">
        <f>SUM(AD170:AO170)</f>
        <v>0</v>
      </c>
      <c r="DA170">
        <f>SUM(AP170:BA170)</f>
        <v>0</v>
      </c>
      <c r="DB170">
        <f>SUM(BB170:BM170)</f>
        <v>14353.75</v>
      </c>
      <c r="DC170">
        <f>SUM(BN170:BY170)</f>
        <v>51649.380000000005</v>
      </c>
      <c r="DD170">
        <f>SUM(BZ170:CK170)</f>
        <v>3131.7</v>
      </c>
      <c r="DE170">
        <f>SUM(CL170:CW170)</f>
        <v>0</v>
      </c>
      <c r="DF170">
        <f>SUM(F170:CW170)</f>
        <v>69134.83</v>
      </c>
    </row>
    <row r="171" spans="1:110"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c r="CX171">
        <f>SUM(F171:Q171)</f>
        <v>0</v>
      </c>
      <c r="CY171">
        <f>SUM(R171:AC171)</f>
        <v>0</v>
      </c>
      <c r="CZ171">
        <f>SUM(AD171:AO171)</f>
        <v>0</v>
      </c>
      <c r="DA171">
        <f>SUM(AP171:BA171)</f>
        <v>0</v>
      </c>
      <c r="DB171">
        <f>SUM(BB171:BM171)</f>
        <v>0</v>
      </c>
      <c r="DC171">
        <f>SUM(BN171:BY171)</f>
        <v>0</v>
      </c>
      <c r="DD171">
        <f>SUM(BZ171:CK171)</f>
        <v>0</v>
      </c>
      <c r="DE171">
        <f>SUM(CL171:CW171)</f>
        <v>2124.81</v>
      </c>
      <c r="DF171">
        <f>SUM(F171:CW171)</f>
        <v>2124.81</v>
      </c>
    </row>
    <row r="172" spans="1:110"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c r="CX172">
        <f>SUM(F172:Q172)</f>
        <v>0</v>
      </c>
      <c r="CY172">
        <f>SUM(R172:AC172)</f>
        <v>0</v>
      </c>
      <c r="CZ172">
        <f>SUM(AD172:AO172)</f>
        <v>0</v>
      </c>
      <c r="DA172">
        <f>SUM(AP172:BA172)</f>
        <v>0</v>
      </c>
      <c r="DB172">
        <f>SUM(BB172:BM172)</f>
        <v>5136.84</v>
      </c>
      <c r="DC172">
        <f>SUM(BN172:BY172)</f>
        <v>469.52</v>
      </c>
      <c r="DD172">
        <f>SUM(BZ172:CK172)</f>
        <v>0</v>
      </c>
      <c r="DE172">
        <f>SUM(CL172:CW172)</f>
        <v>0</v>
      </c>
      <c r="DF172">
        <f>SUM(F172:CW172)</f>
        <v>5606.3600000000006</v>
      </c>
    </row>
    <row r="173" spans="1:110"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c r="CX173">
        <f>SUM(F173:Q173)</f>
        <v>0</v>
      </c>
      <c r="CY173">
        <f>SUM(R173:AC173)</f>
        <v>0</v>
      </c>
      <c r="CZ173">
        <f>SUM(AD173:AO173)</f>
        <v>0</v>
      </c>
      <c r="DA173">
        <f>SUM(AP173:BA173)</f>
        <v>0</v>
      </c>
      <c r="DB173">
        <f>SUM(BB173:BM173)</f>
        <v>0</v>
      </c>
      <c r="DC173">
        <f>SUM(BN173:BY173)</f>
        <v>0</v>
      </c>
      <c r="DD173">
        <f>SUM(BZ173:CK173)</f>
        <v>4313.6099999999997</v>
      </c>
      <c r="DE173">
        <f>SUM(CL173:CW173)</f>
        <v>0</v>
      </c>
      <c r="DF173">
        <f>SUM(F173:CW173)</f>
        <v>4313.6099999999997</v>
      </c>
    </row>
    <row r="174" spans="1:110"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c r="CX174">
        <f>SUM(F174:Q174)</f>
        <v>836.88</v>
      </c>
      <c r="CY174">
        <f>SUM(R174:AC174)</f>
        <v>3984.89</v>
      </c>
      <c r="CZ174">
        <f>SUM(AD174:AO174)</f>
        <v>0</v>
      </c>
      <c r="DA174">
        <f>SUM(AP174:BA174)</f>
        <v>0</v>
      </c>
      <c r="DB174">
        <f>SUM(BB174:BM174)</f>
        <v>0</v>
      </c>
      <c r="DC174">
        <f>SUM(BN174:BY174)</f>
        <v>0</v>
      </c>
      <c r="DD174">
        <f>SUM(BZ174:CK174)</f>
        <v>0</v>
      </c>
      <c r="DE174">
        <f>SUM(CL174:CW174)</f>
        <v>0</v>
      </c>
      <c r="DF174">
        <f>SUM(F174:CW174)</f>
        <v>4821.7700000000004</v>
      </c>
    </row>
    <row r="175" spans="1:110"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c r="CX175">
        <f>SUM(F175:Q175)</f>
        <v>0</v>
      </c>
      <c r="CY175">
        <f>SUM(R175:AC175)</f>
        <v>0</v>
      </c>
      <c r="CZ175">
        <f>SUM(AD175:AO175)</f>
        <v>0</v>
      </c>
      <c r="DA175">
        <f>SUM(AP175:BA175)</f>
        <v>1208.23</v>
      </c>
      <c r="DB175">
        <f>SUM(BB175:BM175)</f>
        <v>5036.1900000000005</v>
      </c>
      <c r="DC175">
        <f>SUM(BN175:BY175)</f>
        <v>1396.53</v>
      </c>
      <c r="DD175">
        <f>SUM(BZ175:CK175)</f>
        <v>0</v>
      </c>
      <c r="DE175">
        <f>SUM(CL175:CW175)</f>
        <v>0</v>
      </c>
      <c r="DF175">
        <f>SUM(F175:CW175)</f>
        <v>7640.95</v>
      </c>
    </row>
    <row r="176" spans="1:110"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c r="CX176">
        <f>SUM(F176:Q176)</f>
        <v>0</v>
      </c>
      <c r="CY176">
        <f>SUM(R176:AC176)</f>
        <v>0</v>
      </c>
      <c r="CZ176">
        <f>SUM(AD176:AO176)</f>
        <v>3091.09</v>
      </c>
      <c r="DA176">
        <f>SUM(AP176:BA176)</f>
        <v>5204.8</v>
      </c>
      <c r="DB176">
        <f>SUM(BB176:BM176)</f>
        <v>2211.94</v>
      </c>
      <c r="DC176">
        <f>SUM(BN176:BY176)</f>
        <v>0</v>
      </c>
      <c r="DD176">
        <f>SUM(BZ176:CK176)</f>
        <v>0</v>
      </c>
      <c r="DE176">
        <f>SUM(CL176:CW176)</f>
        <v>0</v>
      </c>
      <c r="DF176">
        <f>SUM(F176:CW176)</f>
        <v>10507.83</v>
      </c>
    </row>
    <row r="177" spans="1:110"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c r="CX177">
        <f>SUM(F177:Q177)</f>
        <v>0</v>
      </c>
      <c r="CY177">
        <f>SUM(R177:AC177)</f>
        <v>0</v>
      </c>
      <c r="CZ177">
        <f>SUM(AD177:AO177)</f>
        <v>35769.149999999994</v>
      </c>
      <c r="DA177">
        <f>SUM(AP177:BA177)</f>
        <v>26494.350000000002</v>
      </c>
      <c r="DB177">
        <f>SUM(BB177:BM177)</f>
        <v>0</v>
      </c>
      <c r="DC177">
        <f>SUM(BN177:BY177)</f>
        <v>0</v>
      </c>
      <c r="DD177">
        <f>SUM(BZ177:CK177)</f>
        <v>0</v>
      </c>
      <c r="DE177">
        <f>SUM(CL177:CW177)</f>
        <v>0</v>
      </c>
      <c r="DF177">
        <f>SUM(F177:CW177)</f>
        <v>62263.5</v>
      </c>
    </row>
    <row r="178" spans="1:110"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c r="CX178">
        <f>SUM(F178:Q178)</f>
        <v>0</v>
      </c>
      <c r="CY178">
        <f>SUM(R178:AC178)</f>
        <v>0</v>
      </c>
      <c r="CZ178">
        <f>SUM(AD178:AO178)</f>
        <v>0</v>
      </c>
      <c r="DA178">
        <f>SUM(AP178:BA178)</f>
        <v>0</v>
      </c>
      <c r="DB178">
        <f>SUM(BB178:BM178)</f>
        <v>0</v>
      </c>
      <c r="DC178">
        <f>SUM(BN178:BY178)</f>
        <v>1878.89</v>
      </c>
      <c r="DD178">
        <f>SUM(BZ178:CK178)</f>
        <v>6674.1399999999994</v>
      </c>
      <c r="DE178">
        <f>SUM(CL178:CW178)</f>
        <v>0</v>
      </c>
      <c r="DF178">
        <f>SUM(F178:CW178)</f>
        <v>8553.0300000000007</v>
      </c>
    </row>
    <row r="179" spans="1:110"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c r="CX179">
        <f>SUM(F179:Q179)</f>
        <v>0</v>
      </c>
      <c r="CY179">
        <f>SUM(R179:AC179)</f>
        <v>0</v>
      </c>
      <c r="CZ179">
        <f>SUM(AD179:AO179)</f>
        <v>0</v>
      </c>
      <c r="DA179">
        <f>SUM(AP179:BA179)</f>
        <v>0</v>
      </c>
      <c r="DB179">
        <f>SUM(BB179:BM179)</f>
        <v>0</v>
      </c>
      <c r="DC179">
        <f>SUM(BN179:BY179)</f>
        <v>0</v>
      </c>
      <c r="DD179">
        <f>SUM(BZ179:CK179)</f>
        <v>8743.5499999999993</v>
      </c>
      <c r="DE179">
        <f>SUM(CL179:CW179)</f>
        <v>0</v>
      </c>
      <c r="DF179">
        <f>SUM(F179:CW179)</f>
        <v>8743.5499999999993</v>
      </c>
    </row>
    <row r="180" spans="1:110"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c r="CX180">
        <f>SUM(F180:Q180)</f>
        <v>0</v>
      </c>
      <c r="CY180">
        <f>SUM(R180:AC180)</f>
        <v>0</v>
      </c>
      <c r="CZ180">
        <f>SUM(AD180:AO180)</f>
        <v>0</v>
      </c>
      <c r="DA180">
        <f>SUM(AP180:BA180)</f>
        <v>4603.47</v>
      </c>
      <c r="DB180">
        <f>SUM(BB180:BM180)</f>
        <v>0</v>
      </c>
      <c r="DC180">
        <f>SUM(BN180:BY180)</f>
        <v>0</v>
      </c>
      <c r="DD180">
        <f>SUM(BZ180:CK180)</f>
        <v>0</v>
      </c>
      <c r="DE180">
        <f>SUM(CL180:CW180)</f>
        <v>0</v>
      </c>
      <c r="DF180">
        <f>SUM(F180:CW180)</f>
        <v>4603.47</v>
      </c>
    </row>
    <row r="181" spans="1:110"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c r="CX181">
        <f>SUM(F181:Q181)</f>
        <v>0</v>
      </c>
      <c r="CY181">
        <f>SUM(R181:AC181)</f>
        <v>0</v>
      </c>
      <c r="CZ181">
        <f>SUM(AD181:AO181)</f>
        <v>0</v>
      </c>
      <c r="DA181">
        <f>SUM(AP181:BA181)</f>
        <v>0</v>
      </c>
      <c r="DB181">
        <f>SUM(BB181:BM181)</f>
        <v>0</v>
      </c>
      <c r="DC181">
        <f>SUM(BN181:BY181)</f>
        <v>0</v>
      </c>
      <c r="DD181">
        <f>SUM(BZ181:CK181)</f>
        <v>0</v>
      </c>
      <c r="DE181">
        <f>SUM(CL181:CW181)</f>
        <v>3217.12</v>
      </c>
      <c r="DF181">
        <f>SUM(F181:CW181)</f>
        <v>3217.12</v>
      </c>
    </row>
    <row r="182" spans="1:110"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c r="CX182">
        <f>SUM(F182:Q182)</f>
        <v>0</v>
      </c>
      <c r="CY182">
        <f>SUM(R182:AC182)</f>
        <v>0</v>
      </c>
      <c r="CZ182">
        <f>SUM(AD182:AO182)</f>
        <v>0</v>
      </c>
      <c r="DA182">
        <f>SUM(AP182:BA182)</f>
        <v>0</v>
      </c>
      <c r="DB182">
        <f>SUM(BB182:BM182)</f>
        <v>0</v>
      </c>
      <c r="DC182">
        <f>SUM(BN182:BY182)</f>
        <v>0</v>
      </c>
      <c r="DD182">
        <f>SUM(BZ182:CK182)</f>
        <v>7408.2999999999993</v>
      </c>
      <c r="DE182">
        <f>SUM(CL182:CW182)</f>
        <v>3348.62</v>
      </c>
      <c r="DF182">
        <f>SUM(F182:CW182)</f>
        <v>10756.92</v>
      </c>
    </row>
    <row r="183" spans="1:110"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c r="CX183">
        <f>SUM(F183:Q183)</f>
        <v>0</v>
      </c>
      <c r="CY183">
        <f>SUM(R183:AC183)</f>
        <v>0</v>
      </c>
      <c r="CZ183">
        <f>SUM(AD183:AO183)</f>
        <v>0</v>
      </c>
      <c r="DA183">
        <f>SUM(AP183:BA183)</f>
        <v>0</v>
      </c>
      <c r="DB183">
        <f>SUM(BB183:BM183)</f>
        <v>4746.28</v>
      </c>
      <c r="DC183">
        <f>SUM(BN183:BY183)</f>
        <v>0</v>
      </c>
      <c r="DD183">
        <f>SUM(BZ183:CK183)</f>
        <v>0</v>
      </c>
      <c r="DE183">
        <f>SUM(CL183:CW183)</f>
        <v>0</v>
      </c>
      <c r="DF183">
        <f>SUM(F183:CW183)</f>
        <v>4746.28</v>
      </c>
    </row>
    <row r="184" spans="1:110"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c r="CX184">
        <f>SUM(F184:Q184)</f>
        <v>0</v>
      </c>
      <c r="CY184">
        <f>SUM(R184:AC184)</f>
        <v>0</v>
      </c>
      <c r="CZ184">
        <f>SUM(AD184:AO184)</f>
        <v>0</v>
      </c>
      <c r="DA184">
        <f>SUM(AP184:BA184)</f>
        <v>0</v>
      </c>
      <c r="DB184">
        <f>SUM(BB184:BM184)</f>
        <v>0</v>
      </c>
      <c r="DC184">
        <f>SUM(BN184:BY184)</f>
        <v>0</v>
      </c>
      <c r="DD184">
        <f>SUM(BZ184:CK184)</f>
        <v>0</v>
      </c>
      <c r="DE184">
        <f>SUM(CL184:CW184)</f>
        <v>1837.33</v>
      </c>
      <c r="DF184">
        <f>SUM(F184:CW184)</f>
        <v>1837.33</v>
      </c>
    </row>
    <row r="185" spans="1:110"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c r="CX185">
        <f>SUM(F185:Q185)</f>
        <v>0</v>
      </c>
      <c r="CY185">
        <f>SUM(R185:AC185)</f>
        <v>0</v>
      </c>
      <c r="CZ185">
        <f>SUM(AD185:AO185)</f>
        <v>0</v>
      </c>
      <c r="DA185">
        <f>SUM(AP185:BA185)</f>
        <v>0</v>
      </c>
      <c r="DB185">
        <f>SUM(BB185:BM185)</f>
        <v>0</v>
      </c>
      <c r="DC185">
        <f>SUM(BN185:BY185)</f>
        <v>0</v>
      </c>
      <c r="DD185">
        <f>SUM(BZ185:CK185)</f>
        <v>0</v>
      </c>
      <c r="DE185">
        <f>SUM(CL185:CW185)</f>
        <v>4065.3</v>
      </c>
      <c r="DF185">
        <f>SUM(F185:CW185)</f>
        <v>4065.3</v>
      </c>
    </row>
    <row r="186" spans="1:110"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c r="CX186">
        <f>SUM(F186:Q186)</f>
        <v>0</v>
      </c>
      <c r="CY186">
        <f>SUM(R186:AC186)</f>
        <v>0</v>
      </c>
      <c r="CZ186">
        <f>SUM(AD186:AO186)</f>
        <v>0</v>
      </c>
      <c r="DA186">
        <f>SUM(AP186:BA186)</f>
        <v>0</v>
      </c>
      <c r="DB186">
        <f>SUM(BB186:BM186)</f>
        <v>0</v>
      </c>
      <c r="DC186">
        <f>SUM(BN186:BY186)</f>
        <v>0</v>
      </c>
      <c r="DD186">
        <f>SUM(BZ186:CK186)</f>
        <v>0</v>
      </c>
      <c r="DE186">
        <f>SUM(CL186:CW186)</f>
        <v>4152.21</v>
      </c>
      <c r="DF186">
        <f>SUM(F186:CW186)</f>
        <v>4152.21</v>
      </c>
    </row>
    <row r="187" spans="1:110"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c r="CX187">
        <f>SUM(F187:Q187)</f>
        <v>0</v>
      </c>
      <c r="CY187">
        <f>SUM(R187:AC187)</f>
        <v>0</v>
      </c>
      <c r="CZ187">
        <f>SUM(AD187:AO187)</f>
        <v>7083.13</v>
      </c>
      <c r="DA187">
        <f>SUM(AP187:BA187)</f>
        <v>0</v>
      </c>
      <c r="DB187">
        <f>SUM(BB187:BM187)</f>
        <v>0</v>
      </c>
      <c r="DC187">
        <f>SUM(BN187:BY187)</f>
        <v>0</v>
      </c>
      <c r="DD187">
        <f>SUM(BZ187:CK187)</f>
        <v>0</v>
      </c>
      <c r="DE187">
        <f>SUM(CL187:CW187)</f>
        <v>0</v>
      </c>
      <c r="DF187">
        <f>SUM(F187:CW187)</f>
        <v>7083.13</v>
      </c>
    </row>
    <row r="188" spans="1:110"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c r="CX188">
        <f>SUM(F188:Q188)</f>
        <v>0</v>
      </c>
      <c r="CY188">
        <f>SUM(R188:AC188)</f>
        <v>0</v>
      </c>
      <c r="CZ188">
        <f>SUM(AD188:AO188)</f>
        <v>0</v>
      </c>
      <c r="DA188">
        <f>SUM(AP188:BA188)</f>
        <v>0</v>
      </c>
      <c r="DB188">
        <f>SUM(BB188:BM188)</f>
        <v>0</v>
      </c>
      <c r="DC188">
        <f>SUM(BN188:BY188)</f>
        <v>0</v>
      </c>
      <c r="DD188">
        <f>SUM(BZ188:CK188)</f>
        <v>0</v>
      </c>
      <c r="DE188">
        <f>SUM(CL188:CW188)</f>
        <v>7028.52</v>
      </c>
      <c r="DF188">
        <f>SUM(F188:CW188)</f>
        <v>7028.52</v>
      </c>
    </row>
    <row r="189" spans="1:110"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c r="CX189">
        <f>SUM(F189:Q189)</f>
        <v>0</v>
      </c>
      <c r="CY189">
        <f>SUM(R189:AC189)</f>
        <v>0</v>
      </c>
      <c r="CZ189">
        <f>SUM(AD189:AO189)</f>
        <v>0</v>
      </c>
      <c r="DA189">
        <f>SUM(AP189:BA189)</f>
        <v>0</v>
      </c>
      <c r="DB189">
        <f>SUM(BB189:BM189)</f>
        <v>6114.3799999999992</v>
      </c>
      <c r="DC189">
        <f>SUM(BN189:BY189)</f>
        <v>681.44</v>
      </c>
      <c r="DD189">
        <f>SUM(BZ189:CK189)</f>
        <v>0</v>
      </c>
      <c r="DE189">
        <f>SUM(CL189:CW189)</f>
        <v>0</v>
      </c>
      <c r="DF189">
        <f>SUM(F189:CW189)</f>
        <v>6795.82</v>
      </c>
    </row>
    <row r="190" spans="1:110"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c r="CX190">
        <f>SUM(F190:Q190)</f>
        <v>0</v>
      </c>
      <c r="CY190">
        <f>SUM(R190:AC190)</f>
        <v>0</v>
      </c>
      <c r="CZ190">
        <f>SUM(AD190:AO190)</f>
        <v>0</v>
      </c>
      <c r="DA190">
        <f>SUM(AP190:BA190)</f>
        <v>0</v>
      </c>
      <c r="DB190">
        <f>SUM(BB190:BM190)</f>
        <v>0</v>
      </c>
      <c r="DC190">
        <f>SUM(BN190:BY190)</f>
        <v>0</v>
      </c>
      <c r="DD190">
        <f>SUM(BZ190:CK190)</f>
        <v>6007.37</v>
      </c>
      <c r="DE190">
        <f>SUM(CL190:CW190)</f>
        <v>5530.39</v>
      </c>
      <c r="DF190">
        <f>SUM(F190:CW190)</f>
        <v>11537.759999999998</v>
      </c>
    </row>
    <row r="191" spans="1:110"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c r="CX191">
        <f>SUM(F191:Q191)</f>
        <v>0</v>
      </c>
      <c r="CY191">
        <f>SUM(R191:AC191)</f>
        <v>0</v>
      </c>
      <c r="CZ191">
        <f>SUM(AD191:AO191)</f>
        <v>4028.71</v>
      </c>
      <c r="DA191">
        <f>SUM(AP191:BA191)</f>
        <v>0</v>
      </c>
      <c r="DB191">
        <f>SUM(BB191:BM191)</f>
        <v>0</v>
      </c>
      <c r="DC191">
        <f>SUM(BN191:BY191)</f>
        <v>0</v>
      </c>
      <c r="DD191">
        <f>SUM(BZ191:CK191)</f>
        <v>0</v>
      </c>
      <c r="DE191">
        <f>SUM(CL191:CW191)</f>
        <v>0</v>
      </c>
      <c r="DF191">
        <f>SUM(F191:CW191)</f>
        <v>4028.71</v>
      </c>
    </row>
    <row r="192" spans="1:110"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c r="CX192">
        <f>SUM(F192:Q192)</f>
        <v>0</v>
      </c>
      <c r="CY192">
        <f>SUM(R192:AC192)</f>
        <v>0</v>
      </c>
      <c r="CZ192">
        <f>SUM(AD192:AO192)</f>
        <v>0</v>
      </c>
      <c r="DA192">
        <f>SUM(AP192:BA192)</f>
        <v>0</v>
      </c>
      <c r="DB192">
        <f>SUM(BB192:BM192)</f>
        <v>0</v>
      </c>
      <c r="DC192">
        <f>SUM(BN192:BY192)</f>
        <v>0</v>
      </c>
      <c r="DD192">
        <f>SUM(BZ192:CK192)</f>
        <v>41037.300000000003</v>
      </c>
      <c r="DE192">
        <f>SUM(CL192:CW192)</f>
        <v>14341.289999999999</v>
      </c>
      <c r="DF192">
        <f>SUM(F192:CW192)</f>
        <v>55378.590000000004</v>
      </c>
    </row>
    <row r="193" spans="1:110"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c r="CX193">
        <f>SUM(F193:Q193)</f>
        <v>0</v>
      </c>
      <c r="CY193">
        <f>SUM(R193:AC193)</f>
        <v>0</v>
      </c>
      <c r="CZ193">
        <f>SUM(AD193:AO193)</f>
        <v>0</v>
      </c>
      <c r="DA193">
        <f>SUM(AP193:BA193)</f>
        <v>0</v>
      </c>
      <c r="DB193">
        <f>SUM(BB193:BM193)</f>
        <v>0</v>
      </c>
      <c r="DC193">
        <f>SUM(BN193:BY193)</f>
        <v>0</v>
      </c>
      <c r="DD193">
        <f>SUM(BZ193:CK193)</f>
        <v>2212.69</v>
      </c>
      <c r="DE193">
        <f>SUM(CL193:CW193)</f>
        <v>8820.4</v>
      </c>
      <c r="DF193">
        <f>SUM(F193:CW193)</f>
        <v>11033.09</v>
      </c>
    </row>
    <row r="194" spans="1:110"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c r="CX194">
        <f>SUM(F194:Q194)</f>
        <v>0</v>
      </c>
      <c r="CY194">
        <f>SUM(R194:AC194)</f>
        <v>0</v>
      </c>
      <c r="CZ194">
        <f>SUM(AD194:AO194)</f>
        <v>0</v>
      </c>
      <c r="DA194">
        <f>SUM(AP194:BA194)</f>
        <v>0</v>
      </c>
      <c r="DB194">
        <f>SUM(BB194:BM194)</f>
        <v>0</v>
      </c>
      <c r="DC194">
        <f>SUM(BN194:BY194)</f>
        <v>6379.63</v>
      </c>
      <c r="DD194">
        <f>SUM(BZ194:CK194)</f>
        <v>0</v>
      </c>
      <c r="DE194">
        <f>SUM(CL194:CW194)</f>
        <v>0</v>
      </c>
      <c r="DF194">
        <f>SUM(F194:CW194)</f>
        <v>6379.63</v>
      </c>
    </row>
    <row r="195" spans="1:110"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c r="CX195">
        <f>SUM(F195:Q195)</f>
        <v>0</v>
      </c>
      <c r="CY195">
        <f>SUM(R195:AC195)</f>
        <v>0</v>
      </c>
      <c r="CZ195">
        <f>SUM(AD195:AO195)</f>
        <v>0</v>
      </c>
      <c r="DA195">
        <f>SUM(AP195:BA195)</f>
        <v>0</v>
      </c>
      <c r="DB195">
        <f>SUM(BB195:BM195)</f>
        <v>0</v>
      </c>
      <c r="DC195">
        <f>SUM(BN195:BY195)</f>
        <v>0</v>
      </c>
      <c r="DD195">
        <f>SUM(BZ195:CK195)</f>
        <v>1771.2199999999998</v>
      </c>
      <c r="DE195">
        <f>SUM(CL195:CW195)</f>
        <v>2302.42</v>
      </c>
      <c r="DF195">
        <f>SUM(F195:CW195)</f>
        <v>4073.64</v>
      </c>
    </row>
    <row r="196" spans="1:110"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c r="CX196">
        <f>SUM(F196:Q196)</f>
        <v>0</v>
      </c>
      <c r="CY196">
        <f>SUM(R196:AC196)</f>
        <v>0</v>
      </c>
      <c r="CZ196">
        <f>SUM(AD196:AO196)</f>
        <v>0</v>
      </c>
      <c r="DA196">
        <f>SUM(AP196:BA196)</f>
        <v>0</v>
      </c>
      <c r="DB196">
        <f>SUM(BB196:BM196)</f>
        <v>0</v>
      </c>
      <c r="DC196">
        <f>SUM(BN196:BY196)</f>
        <v>0</v>
      </c>
      <c r="DD196">
        <f>SUM(BZ196:CK196)</f>
        <v>1251.18</v>
      </c>
      <c r="DE196">
        <f>SUM(CL196:CW196)</f>
        <v>1116.29</v>
      </c>
      <c r="DF196">
        <f>SUM(F196:CW196)</f>
        <v>2367.4700000000003</v>
      </c>
    </row>
    <row r="197" spans="1:110"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c r="CX197">
        <f>SUM(F197:Q197)</f>
        <v>0</v>
      </c>
      <c r="CY197">
        <f>SUM(R197:AC197)</f>
        <v>0</v>
      </c>
      <c r="CZ197">
        <f>SUM(AD197:AO197)</f>
        <v>3684.87</v>
      </c>
      <c r="DA197">
        <f>SUM(AP197:BA197)</f>
        <v>927.85</v>
      </c>
      <c r="DB197">
        <f>SUM(BB197:BM197)</f>
        <v>0</v>
      </c>
      <c r="DC197">
        <f>SUM(BN197:BY197)</f>
        <v>0</v>
      </c>
      <c r="DD197">
        <f>SUM(BZ197:CK197)</f>
        <v>0</v>
      </c>
      <c r="DE197">
        <f>SUM(CL197:CW197)</f>
        <v>0</v>
      </c>
      <c r="DF197">
        <f>SUM(F197:CW197)</f>
        <v>4612.72</v>
      </c>
    </row>
    <row r="198" spans="1:110"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c r="CX198">
        <f>SUM(F198:Q198)</f>
        <v>0</v>
      </c>
      <c r="CY198">
        <f>SUM(R198:AC198)</f>
        <v>0</v>
      </c>
      <c r="CZ198">
        <f>SUM(AD198:AO198)</f>
        <v>7687.5400000000009</v>
      </c>
      <c r="DA198">
        <f>SUM(AP198:BA198)</f>
        <v>17791.05</v>
      </c>
      <c r="DB198">
        <f>SUM(BB198:BM198)</f>
        <v>2344.4899999999998</v>
      </c>
      <c r="DC198">
        <f>SUM(BN198:BY198)</f>
        <v>0</v>
      </c>
      <c r="DD198">
        <f>SUM(BZ198:CK198)</f>
        <v>0</v>
      </c>
      <c r="DE198">
        <f>SUM(CL198:CW198)</f>
        <v>0</v>
      </c>
      <c r="DF198">
        <f>SUM(F198:CW198)</f>
        <v>27823.08</v>
      </c>
    </row>
    <row r="199" spans="1:110"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c r="CX199">
        <f>SUM(F199:Q199)</f>
        <v>0</v>
      </c>
      <c r="CY199">
        <f>SUM(R199:AC199)</f>
        <v>2129.2799999999997</v>
      </c>
      <c r="CZ199">
        <f>SUM(AD199:AO199)</f>
        <v>0</v>
      </c>
      <c r="DA199">
        <f>SUM(AP199:BA199)</f>
        <v>0</v>
      </c>
      <c r="DB199">
        <f>SUM(BB199:BM199)</f>
        <v>0</v>
      </c>
      <c r="DC199">
        <f>SUM(BN199:BY199)</f>
        <v>0</v>
      </c>
      <c r="DD199">
        <f>SUM(BZ199:CK199)</f>
        <v>0</v>
      </c>
      <c r="DE199">
        <f>SUM(CL199:CW199)</f>
        <v>0</v>
      </c>
      <c r="DF199">
        <f>SUM(F199:CW199)</f>
        <v>2129.2799999999997</v>
      </c>
    </row>
    <row r="200" spans="1:110"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c r="CX200">
        <f>SUM(F200:Q200)</f>
        <v>0</v>
      </c>
      <c r="CY200">
        <f>SUM(R200:AC200)</f>
        <v>0</v>
      </c>
      <c r="CZ200">
        <f>SUM(AD200:AO200)</f>
        <v>0</v>
      </c>
      <c r="DA200">
        <f>SUM(AP200:BA200)</f>
        <v>0</v>
      </c>
      <c r="DB200">
        <f>SUM(BB200:BM200)</f>
        <v>6258.1100000000006</v>
      </c>
      <c r="DC200">
        <f>SUM(BN200:BY200)</f>
        <v>1963.48</v>
      </c>
      <c r="DD200">
        <f>SUM(BZ200:CK200)</f>
        <v>0</v>
      </c>
      <c r="DE200">
        <f>SUM(CL200:CW200)</f>
        <v>0</v>
      </c>
      <c r="DF200">
        <f>SUM(F200:CW200)</f>
        <v>8221.59</v>
      </c>
    </row>
    <row r="201" spans="1:110"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c r="CX201">
        <f>SUM(F201:Q201)</f>
        <v>0</v>
      </c>
      <c r="CY201">
        <f>SUM(R201:AC201)</f>
        <v>0</v>
      </c>
      <c r="CZ201">
        <f>SUM(AD201:AO201)</f>
        <v>0</v>
      </c>
      <c r="DA201">
        <f>SUM(AP201:BA201)</f>
        <v>0</v>
      </c>
      <c r="DB201">
        <f>SUM(BB201:BM201)</f>
        <v>3881.0200000000004</v>
      </c>
      <c r="DC201">
        <f>SUM(BN201:BY201)</f>
        <v>2155.66</v>
      </c>
      <c r="DD201">
        <f>SUM(BZ201:CK201)</f>
        <v>492.84</v>
      </c>
      <c r="DE201">
        <f>SUM(CL201:CW201)</f>
        <v>0</v>
      </c>
      <c r="DF201">
        <f>SUM(F201:CW201)</f>
        <v>6529.5200000000013</v>
      </c>
    </row>
    <row r="202" spans="1:110"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c r="CX202">
        <f>SUM(F202:Q202)</f>
        <v>0</v>
      </c>
      <c r="CY202">
        <f>SUM(R202:AC202)</f>
        <v>5055.91</v>
      </c>
      <c r="CZ202">
        <f>SUM(AD202:AO202)</f>
        <v>0</v>
      </c>
      <c r="DA202">
        <f>SUM(AP202:BA202)</f>
        <v>0</v>
      </c>
      <c r="DB202">
        <f>SUM(BB202:BM202)</f>
        <v>0</v>
      </c>
      <c r="DC202">
        <f>SUM(BN202:BY202)</f>
        <v>0</v>
      </c>
      <c r="DD202">
        <f>SUM(BZ202:CK202)</f>
        <v>0</v>
      </c>
      <c r="DE202">
        <f>SUM(CL202:CW202)</f>
        <v>0</v>
      </c>
      <c r="DF202">
        <f>SUM(F202:CW202)</f>
        <v>5055.91</v>
      </c>
    </row>
    <row r="203" spans="1:110"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c r="CX203">
        <f>SUM(F203:Q203)</f>
        <v>0</v>
      </c>
      <c r="CY203">
        <f>SUM(R203:AC203)</f>
        <v>0</v>
      </c>
      <c r="CZ203">
        <f>SUM(AD203:AO203)</f>
        <v>0</v>
      </c>
      <c r="DA203">
        <f>SUM(AP203:BA203)</f>
        <v>0</v>
      </c>
      <c r="DB203">
        <f>SUM(BB203:BM203)</f>
        <v>0</v>
      </c>
      <c r="DC203">
        <f>SUM(BN203:BY203)</f>
        <v>500.16999999999996</v>
      </c>
      <c r="DD203">
        <f>SUM(BZ203:CK203)</f>
        <v>3281.2599999999993</v>
      </c>
      <c r="DE203">
        <f>SUM(CL203:CW203)</f>
        <v>892.32000000000016</v>
      </c>
      <c r="DF203">
        <f>SUM(F203:CW203)</f>
        <v>4673.7499999999991</v>
      </c>
    </row>
    <row r="204" spans="1:110"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c r="CX204">
        <f>SUM(F204:Q204)</f>
        <v>0</v>
      </c>
      <c r="CY204">
        <f>SUM(R204:AC204)</f>
        <v>0</v>
      </c>
      <c r="CZ204">
        <f>SUM(AD204:AO204)</f>
        <v>0</v>
      </c>
      <c r="DA204">
        <f>SUM(AP204:BA204)</f>
        <v>0</v>
      </c>
      <c r="DB204">
        <f>SUM(BB204:BM204)</f>
        <v>0</v>
      </c>
      <c r="DC204">
        <f>SUM(BN204:BY204)</f>
        <v>0</v>
      </c>
      <c r="DD204">
        <f>SUM(BZ204:CK204)</f>
        <v>667.78</v>
      </c>
      <c r="DE204">
        <f>SUM(CL204:CW204)</f>
        <v>2921.8900000000003</v>
      </c>
      <c r="DF204">
        <f>SUM(F204:CW204)</f>
        <v>3589.67</v>
      </c>
    </row>
    <row r="205" spans="1:110"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c r="CX205">
        <f>SUM(F205:Q205)</f>
        <v>0</v>
      </c>
      <c r="CY205">
        <f>SUM(R205:AC205)</f>
        <v>0</v>
      </c>
      <c r="CZ205">
        <f>SUM(AD205:AO205)</f>
        <v>0</v>
      </c>
      <c r="DA205">
        <f>SUM(AP205:BA205)</f>
        <v>0</v>
      </c>
      <c r="DB205">
        <f>SUM(BB205:BM205)</f>
        <v>0</v>
      </c>
      <c r="DC205">
        <f>SUM(BN205:BY205)</f>
        <v>0</v>
      </c>
      <c r="DD205">
        <f>SUM(BZ205:CK205)</f>
        <v>223.74</v>
      </c>
      <c r="DE205">
        <f>SUM(CL205:CW205)</f>
        <v>802.68000000000006</v>
      </c>
      <c r="DF205">
        <f>SUM(F205:CW205)</f>
        <v>1026.42</v>
      </c>
    </row>
    <row r="206" spans="1:110"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c r="CX206">
        <f>SUM(F206:Q206)</f>
        <v>0</v>
      </c>
      <c r="CY206">
        <f>SUM(R206:AC206)</f>
        <v>3384.55</v>
      </c>
      <c r="CZ206">
        <f>SUM(AD206:AO206)</f>
        <v>4545.43</v>
      </c>
      <c r="DA206">
        <f>SUM(AP206:BA206)</f>
        <v>0</v>
      </c>
      <c r="DB206">
        <f>SUM(BB206:BM206)</f>
        <v>0</v>
      </c>
      <c r="DC206">
        <f>SUM(BN206:BY206)</f>
        <v>0</v>
      </c>
      <c r="DD206">
        <f>SUM(BZ206:CK206)</f>
        <v>0</v>
      </c>
      <c r="DE206">
        <f>SUM(CL206:CW206)</f>
        <v>0</v>
      </c>
      <c r="DF206">
        <f>SUM(F206:CW206)</f>
        <v>7929.98</v>
      </c>
    </row>
    <row r="207" spans="1:110"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c r="CX207">
        <f>SUM(F207:Q207)</f>
        <v>26465.84</v>
      </c>
      <c r="CY207">
        <f>SUM(R207:AC207)</f>
        <v>24179.64</v>
      </c>
      <c r="CZ207">
        <f>SUM(AD207:AO207)</f>
        <v>0</v>
      </c>
      <c r="DA207">
        <f>SUM(AP207:BA207)</f>
        <v>0</v>
      </c>
      <c r="DB207">
        <f>SUM(BB207:BM207)</f>
        <v>0</v>
      </c>
      <c r="DC207">
        <f>SUM(BN207:BY207)</f>
        <v>0</v>
      </c>
      <c r="DD207">
        <f>SUM(BZ207:CK207)</f>
        <v>0</v>
      </c>
      <c r="DE207">
        <f>SUM(CL207:CW207)</f>
        <v>0</v>
      </c>
      <c r="DF207">
        <f>SUM(F207:CW207)</f>
        <v>50645.48000000001</v>
      </c>
    </row>
    <row r="208" spans="1:110"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c r="CX208">
        <f>SUM(F208:Q208)</f>
        <v>0</v>
      </c>
      <c r="CY208">
        <f>SUM(R208:AC208)</f>
        <v>0</v>
      </c>
      <c r="CZ208">
        <f>SUM(AD208:AO208)</f>
        <v>0</v>
      </c>
      <c r="DA208">
        <f>SUM(AP208:BA208)</f>
        <v>0</v>
      </c>
      <c r="DB208">
        <f>SUM(BB208:BM208)</f>
        <v>0</v>
      </c>
      <c r="DC208">
        <f>SUM(BN208:BY208)</f>
        <v>1303.81</v>
      </c>
      <c r="DD208">
        <f>SUM(BZ208:CK208)</f>
        <v>624.03</v>
      </c>
      <c r="DE208">
        <f>SUM(CL208:CW208)</f>
        <v>0</v>
      </c>
      <c r="DF208">
        <f>SUM(F208:CW208)</f>
        <v>1927.84</v>
      </c>
    </row>
    <row r="209" spans="1:110"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c r="CX209">
        <f>SUM(F209:Q209)</f>
        <v>0</v>
      </c>
      <c r="CY209">
        <f>SUM(R209:AC209)</f>
        <v>0</v>
      </c>
      <c r="CZ209">
        <f>SUM(AD209:AO209)</f>
        <v>0</v>
      </c>
      <c r="DA209">
        <f>SUM(AP209:BA209)</f>
        <v>0</v>
      </c>
      <c r="DB209">
        <f>SUM(BB209:BM209)</f>
        <v>0</v>
      </c>
      <c r="DC209">
        <f>SUM(BN209:BY209)</f>
        <v>7208.53</v>
      </c>
      <c r="DD209">
        <f>SUM(BZ209:CK209)</f>
        <v>0</v>
      </c>
      <c r="DE209">
        <f>SUM(CL209:CW209)</f>
        <v>0</v>
      </c>
      <c r="DF209">
        <f>SUM(F209:CW209)</f>
        <v>7208.53</v>
      </c>
    </row>
    <row r="210" spans="1:110"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c r="CX210">
        <f>SUM(F210:Q210)</f>
        <v>0</v>
      </c>
      <c r="CY210">
        <f>SUM(R210:AC210)</f>
        <v>0</v>
      </c>
      <c r="CZ210">
        <f>SUM(AD210:AO210)</f>
        <v>0</v>
      </c>
      <c r="DA210">
        <f>SUM(AP210:BA210)</f>
        <v>0</v>
      </c>
      <c r="DB210">
        <f>SUM(BB210:BM210)</f>
        <v>3698.36</v>
      </c>
      <c r="DC210">
        <f>SUM(BN210:BY210)</f>
        <v>0</v>
      </c>
      <c r="DD210">
        <f>SUM(BZ210:CK210)</f>
        <v>0</v>
      </c>
      <c r="DE210">
        <f>SUM(CL210:CW210)</f>
        <v>0</v>
      </c>
      <c r="DF210">
        <f>SUM(F210:CW210)</f>
        <v>3698.36</v>
      </c>
    </row>
    <row r="211" spans="1:110"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c r="CX211">
        <f>SUM(F211:Q211)</f>
        <v>4108.24</v>
      </c>
      <c r="CY211">
        <f>SUM(R211:AC211)</f>
        <v>0</v>
      </c>
      <c r="CZ211">
        <f>SUM(AD211:AO211)</f>
        <v>0</v>
      </c>
      <c r="DA211">
        <f>SUM(AP211:BA211)</f>
        <v>0</v>
      </c>
      <c r="DB211">
        <f>SUM(BB211:BM211)</f>
        <v>0</v>
      </c>
      <c r="DC211">
        <f>SUM(BN211:BY211)</f>
        <v>0</v>
      </c>
      <c r="DD211">
        <f>SUM(BZ211:CK211)</f>
        <v>0</v>
      </c>
      <c r="DE211">
        <f>SUM(CL211:CW211)</f>
        <v>0</v>
      </c>
      <c r="DF211">
        <f>SUM(F211:CW211)</f>
        <v>4108.24</v>
      </c>
    </row>
    <row r="212" spans="1:110"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c r="CX212">
        <f>SUM(F212:Q212)</f>
        <v>0</v>
      </c>
      <c r="CY212">
        <f>SUM(R212:AC212)</f>
        <v>0</v>
      </c>
      <c r="CZ212">
        <f>SUM(AD212:AO212)</f>
        <v>0</v>
      </c>
      <c r="DA212">
        <f>SUM(AP212:BA212)</f>
        <v>0</v>
      </c>
      <c r="DB212">
        <f>SUM(BB212:BM212)</f>
        <v>2524.73</v>
      </c>
      <c r="DC212">
        <f>SUM(BN212:BY212)</f>
        <v>0</v>
      </c>
      <c r="DD212">
        <f>SUM(BZ212:CK212)</f>
        <v>0</v>
      </c>
      <c r="DE212">
        <f>SUM(CL212:CW212)</f>
        <v>0</v>
      </c>
      <c r="DF212">
        <f>SUM(F212:CW212)</f>
        <v>2524.73</v>
      </c>
    </row>
    <row r="213" spans="1:110"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c r="CX213">
        <f>SUM(F213:Q213)</f>
        <v>0</v>
      </c>
      <c r="CY213">
        <f>SUM(R213:AC213)</f>
        <v>0</v>
      </c>
      <c r="CZ213">
        <f>SUM(AD213:AO213)</f>
        <v>0</v>
      </c>
      <c r="DA213">
        <f>SUM(AP213:BA213)</f>
        <v>0</v>
      </c>
      <c r="DB213">
        <f>SUM(BB213:BM213)</f>
        <v>5870.9</v>
      </c>
      <c r="DC213">
        <f>SUM(BN213:BY213)</f>
        <v>0</v>
      </c>
      <c r="DD213">
        <f>SUM(BZ213:CK213)</f>
        <v>0</v>
      </c>
      <c r="DE213">
        <f>SUM(CL213:CW213)</f>
        <v>0</v>
      </c>
      <c r="DF213">
        <f>SUM(F213:CW213)</f>
        <v>5870.9</v>
      </c>
    </row>
    <row r="214" spans="1:110"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c r="CX214">
        <f>SUM(F214:Q214)</f>
        <v>0</v>
      </c>
      <c r="CY214">
        <f>SUM(R214:AC214)</f>
        <v>0</v>
      </c>
      <c r="CZ214">
        <f>SUM(AD214:AO214)</f>
        <v>0</v>
      </c>
      <c r="DA214">
        <f>SUM(AP214:BA214)</f>
        <v>0</v>
      </c>
      <c r="DB214">
        <f>SUM(BB214:BM214)</f>
        <v>0</v>
      </c>
      <c r="DC214">
        <f>SUM(BN214:BY214)</f>
        <v>0</v>
      </c>
      <c r="DD214">
        <f>SUM(BZ214:CK214)</f>
        <v>3354.32</v>
      </c>
      <c r="DE214">
        <f>SUM(CL214:CW214)</f>
        <v>0</v>
      </c>
      <c r="DF214">
        <f>SUM(F214:CW214)</f>
        <v>3354.32</v>
      </c>
    </row>
    <row r="215" spans="1:110"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c r="CX215">
        <f>SUM(F215:Q215)</f>
        <v>0</v>
      </c>
      <c r="CY215">
        <f>SUM(R215:AC215)</f>
        <v>0</v>
      </c>
      <c r="CZ215">
        <f>SUM(AD215:AO215)</f>
        <v>0</v>
      </c>
      <c r="DA215">
        <f>SUM(AP215:BA215)</f>
        <v>6494.2900000000009</v>
      </c>
      <c r="DB215">
        <f>SUM(BB215:BM215)</f>
        <v>6333.5499999999993</v>
      </c>
      <c r="DC215">
        <f>SUM(BN215:BY215)</f>
        <v>2696.16</v>
      </c>
      <c r="DD215">
        <f>SUM(BZ215:CK215)</f>
        <v>0</v>
      </c>
      <c r="DE215">
        <f>SUM(CL215:CW215)</f>
        <v>0</v>
      </c>
      <c r="DF215">
        <f>SUM(F215:CW215)</f>
        <v>15524</v>
      </c>
    </row>
    <row r="216" spans="1:110"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c r="CX216">
        <f>SUM(F216:Q216)</f>
        <v>0</v>
      </c>
      <c r="CY216">
        <f>SUM(R216:AC216)</f>
        <v>0</v>
      </c>
      <c r="CZ216">
        <f>SUM(AD216:AO216)</f>
        <v>0</v>
      </c>
      <c r="DA216">
        <f>SUM(AP216:BA216)</f>
        <v>4759.22</v>
      </c>
      <c r="DB216">
        <f>SUM(BB216:BM216)</f>
        <v>0</v>
      </c>
      <c r="DC216">
        <f>SUM(BN216:BY216)</f>
        <v>0</v>
      </c>
      <c r="DD216">
        <f>SUM(BZ216:CK216)</f>
        <v>0</v>
      </c>
      <c r="DE216">
        <f>SUM(CL216:CW216)</f>
        <v>0</v>
      </c>
      <c r="DF216">
        <f>SUM(F216:CW216)</f>
        <v>4759.22</v>
      </c>
    </row>
    <row r="217" spans="1:110"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c r="CX217">
        <f>SUM(F217:Q217)</f>
        <v>0</v>
      </c>
      <c r="CY217">
        <f>SUM(R217:AC217)</f>
        <v>0</v>
      </c>
      <c r="CZ217">
        <f>SUM(AD217:AO217)</f>
        <v>0</v>
      </c>
      <c r="DA217">
        <f>SUM(AP217:BA217)</f>
        <v>0</v>
      </c>
      <c r="DB217">
        <f>SUM(BB217:BM217)</f>
        <v>1317.09</v>
      </c>
      <c r="DC217">
        <f>SUM(BN217:BY217)</f>
        <v>829.08</v>
      </c>
      <c r="DD217">
        <f>SUM(BZ217:CK217)</f>
        <v>0</v>
      </c>
      <c r="DE217">
        <f>SUM(CL217:CW217)</f>
        <v>0</v>
      </c>
      <c r="DF217">
        <f>SUM(F217:CW217)</f>
        <v>2146.17</v>
      </c>
    </row>
    <row r="218" spans="1:110"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c r="CX218">
        <f>SUM(F218:Q218)</f>
        <v>0</v>
      </c>
      <c r="CY218">
        <f>SUM(R218:AC218)</f>
        <v>5106.4799999999996</v>
      </c>
      <c r="CZ218">
        <f>SUM(AD218:AO218)</f>
        <v>6219.95</v>
      </c>
      <c r="DA218">
        <f>SUM(AP218:BA218)</f>
        <v>0</v>
      </c>
      <c r="DB218">
        <f>SUM(BB218:BM218)</f>
        <v>0</v>
      </c>
      <c r="DC218">
        <f>SUM(BN218:BY218)</f>
        <v>0</v>
      </c>
      <c r="DD218">
        <f>SUM(BZ218:CK218)</f>
        <v>0</v>
      </c>
      <c r="DE218">
        <f>SUM(CL218:CW218)</f>
        <v>0</v>
      </c>
      <c r="DF218">
        <f>SUM(F218:CW218)</f>
        <v>11326.43</v>
      </c>
    </row>
    <row r="219" spans="1:110"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c r="CX219">
        <f>SUM(F219:Q219)</f>
        <v>0</v>
      </c>
      <c r="CY219">
        <f>SUM(R219:AC219)</f>
        <v>0</v>
      </c>
      <c r="CZ219">
        <f>SUM(AD219:AO219)</f>
        <v>0</v>
      </c>
      <c r="DA219">
        <f>SUM(AP219:BA219)</f>
        <v>0</v>
      </c>
      <c r="DB219">
        <f>SUM(BB219:BM219)</f>
        <v>0</v>
      </c>
      <c r="DC219">
        <f>SUM(BN219:BY219)</f>
        <v>0</v>
      </c>
      <c r="DD219">
        <f>SUM(BZ219:CK219)</f>
        <v>2304.41</v>
      </c>
      <c r="DE219">
        <f>SUM(CL219:CW219)</f>
        <v>0</v>
      </c>
      <c r="DF219">
        <f>SUM(F219:CW219)</f>
        <v>2304.41</v>
      </c>
    </row>
    <row r="220" spans="1:110"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c r="CX220">
        <f>SUM(F220:Q220)</f>
        <v>0</v>
      </c>
      <c r="CY220">
        <f>SUM(R220:AC220)</f>
        <v>0</v>
      </c>
      <c r="CZ220">
        <f>SUM(AD220:AO220)</f>
        <v>0</v>
      </c>
      <c r="DA220">
        <f>SUM(AP220:BA220)</f>
        <v>0</v>
      </c>
      <c r="DB220">
        <f>SUM(BB220:BM220)</f>
        <v>0</v>
      </c>
      <c r="DC220">
        <f>SUM(BN220:BY220)</f>
        <v>1611.04</v>
      </c>
      <c r="DD220">
        <f>SUM(BZ220:CK220)</f>
        <v>0</v>
      </c>
      <c r="DE220">
        <f>SUM(CL220:CW220)</f>
        <v>0</v>
      </c>
      <c r="DF220">
        <f>SUM(F220:CW220)</f>
        <v>1611.04</v>
      </c>
    </row>
    <row r="221" spans="1:110"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c r="CX221">
        <f>SUM(F221:Q221)</f>
        <v>0</v>
      </c>
      <c r="CY221">
        <f>SUM(R221:AC221)</f>
        <v>0</v>
      </c>
      <c r="CZ221">
        <f>SUM(AD221:AO221)</f>
        <v>0</v>
      </c>
      <c r="DA221">
        <f>SUM(AP221:BA221)</f>
        <v>0</v>
      </c>
      <c r="DB221">
        <f>SUM(BB221:BM221)</f>
        <v>0</v>
      </c>
      <c r="DC221">
        <f>SUM(BN221:BY221)</f>
        <v>6072.69</v>
      </c>
      <c r="DD221">
        <f>SUM(BZ221:CK221)</f>
        <v>0</v>
      </c>
      <c r="DE221">
        <f>SUM(CL221:CW221)</f>
        <v>0</v>
      </c>
      <c r="DF221">
        <f>SUM(F221:CW221)</f>
        <v>6072.69</v>
      </c>
    </row>
    <row r="222" spans="1:110"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c r="CX222">
        <f>SUM(F222:Q222)</f>
        <v>0</v>
      </c>
      <c r="CY222">
        <f>SUM(R222:AC222)</f>
        <v>0</v>
      </c>
      <c r="CZ222">
        <f>SUM(AD222:AO222)</f>
        <v>0</v>
      </c>
      <c r="DA222">
        <f>SUM(AP222:BA222)</f>
        <v>0</v>
      </c>
      <c r="DB222">
        <f>SUM(BB222:BM222)</f>
        <v>0</v>
      </c>
      <c r="DC222">
        <f>SUM(BN222:BY222)</f>
        <v>0</v>
      </c>
      <c r="DD222">
        <f>SUM(BZ222:CK222)</f>
        <v>625.33000000000004</v>
      </c>
      <c r="DE222">
        <f>SUM(CL222:CW222)</f>
        <v>2299.27</v>
      </c>
      <c r="DF222">
        <f>SUM(F222:CW222)</f>
        <v>2924.6000000000004</v>
      </c>
    </row>
    <row r="223" spans="1:110"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c r="CX223">
        <f>SUM(F223:Q223)</f>
        <v>0</v>
      </c>
      <c r="CY223">
        <f>SUM(R223:AC223)</f>
        <v>0</v>
      </c>
      <c r="CZ223">
        <f>SUM(AD223:AO223)</f>
        <v>0</v>
      </c>
      <c r="DA223">
        <f>SUM(AP223:BA223)</f>
        <v>0</v>
      </c>
      <c r="DB223">
        <f>SUM(BB223:BM223)</f>
        <v>3266.83</v>
      </c>
      <c r="DC223">
        <f>SUM(BN223:BY223)</f>
        <v>0</v>
      </c>
      <c r="DD223">
        <f>SUM(BZ223:CK223)</f>
        <v>0</v>
      </c>
      <c r="DE223">
        <f>SUM(CL223:CW223)</f>
        <v>0</v>
      </c>
      <c r="DF223">
        <f>SUM(F223:CW223)</f>
        <v>3266.83</v>
      </c>
    </row>
    <row r="224" spans="1:110"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c r="CX224">
        <f>SUM(F224:Q224)</f>
        <v>0</v>
      </c>
      <c r="CY224">
        <f>SUM(R224:AC224)</f>
        <v>0</v>
      </c>
      <c r="CZ224">
        <f>SUM(AD224:AO224)</f>
        <v>0</v>
      </c>
      <c r="DA224">
        <f>SUM(AP224:BA224)</f>
        <v>0</v>
      </c>
      <c r="DB224">
        <f>SUM(BB224:BM224)</f>
        <v>0</v>
      </c>
      <c r="DC224">
        <f>SUM(BN224:BY224)</f>
        <v>0</v>
      </c>
      <c r="DD224">
        <f>SUM(BZ224:CK224)</f>
        <v>11203.58</v>
      </c>
      <c r="DE224">
        <f>SUM(CL224:CW224)</f>
        <v>1238.24</v>
      </c>
      <c r="DF224">
        <f>SUM(F224:CW224)</f>
        <v>12441.82</v>
      </c>
    </row>
    <row r="225" spans="1:110"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c r="CX225">
        <f>SUM(F225:Q225)</f>
        <v>0</v>
      </c>
      <c r="CY225">
        <f>SUM(R225:AC225)</f>
        <v>0</v>
      </c>
      <c r="CZ225">
        <f>SUM(AD225:AO225)</f>
        <v>0</v>
      </c>
      <c r="DA225">
        <f>SUM(AP225:BA225)</f>
        <v>0</v>
      </c>
      <c r="DB225">
        <f>SUM(BB225:BM225)</f>
        <v>0</v>
      </c>
      <c r="DC225">
        <f>SUM(BN225:BY225)</f>
        <v>987.06</v>
      </c>
      <c r="DD225">
        <f>SUM(BZ225:CK225)</f>
        <v>2544</v>
      </c>
      <c r="DE225">
        <f>SUM(CL225:CW225)</f>
        <v>583.95000000000005</v>
      </c>
      <c r="DF225">
        <f>SUM(F225:CW225)</f>
        <v>4115.01</v>
      </c>
    </row>
    <row r="226" spans="1:110"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c r="CX226">
        <f>SUM(F226:Q226)</f>
        <v>0</v>
      </c>
      <c r="CY226">
        <f>SUM(R226:AC226)</f>
        <v>0</v>
      </c>
      <c r="CZ226">
        <f>SUM(AD226:AO226)</f>
        <v>0</v>
      </c>
      <c r="DA226">
        <f>SUM(AP226:BA226)</f>
        <v>0</v>
      </c>
      <c r="DB226">
        <f>SUM(BB226:BM226)</f>
        <v>9224.2199999999993</v>
      </c>
      <c r="DC226">
        <f>SUM(BN226:BY226)</f>
        <v>16926.48</v>
      </c>
      <c r="DD226">
        <f>SUM(BZ226:CK226)</f>
        <v>5769.68</v>
      </c>
      <c r="DE226">
        <f>SUM(CL226:CW226)</f>
        <v>0</v>
      </c>
      <c r="DF226">
        <f>SUM(F226:CW226)</f>
        <v>31920.38</v>
      </c>
    </row>
    <row r="227" spans="1:110"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c r="CX227">
        <f>SUM(F227:Q227)</f>
        <v>0</v>
      </c>
      <c r="CY227">
        <f>SUM(R227:AC227)</f>
        <v>0</v>
      </c>
      <c r="CZ227">
        <f>SUM(AD227:AO227)</f>
        <v>0</v>
      </c>
      <c r="DA227">
        <f>SUM(AP227:BA227)</f>
        <v>0</v>
      </c>
      <c r="DB227">
        <f>SUM(BB227:BM227)</f>
        <v>2593.4699999999998</v>
      </c>
      <c r="DC227">
        <f>SUM(BN227:BY227)</f>
        <v>11527.970000000001</v>
      </c>
      <c r="DD227">
        <f>SUM(BZ227:CK227)</f>
        <v>855.18</v>
      </c>
      <c r="DE227">
        <f>SUM(CL227:CW227)</f>
        <v>0</v>
      </c>
      <c r="DF227">
        <f>SUM(F227:CW227)</f>
        <v>14976.620000000003</v>
      </c>
    </row>
    <row r="228" spans="1:110"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c r="CX228">
        <f>SUM(F228:Q228)</f>
        <v>10447.549999999999</v>
      </c>
      <c r="CY228">
        <f>SUM(R228:AC228)</f>
        <v>3648.93</v>
      </c>
      <c r="CZ228">
        <f>SUM(AD228:AO228)</f>
        <v>0</v>
      </c>
      <c r="DA228">
        <f>SUM(AP228:BA228)</f>
        <v>0</v>
      </c>
      <c r="DB228">
        <f>SUM(BB228:BM228)</f>
        <v>0</v>
      </c>
      <c r="DC228">
        <f>SUM(BN228:BY228)</f>
        <v>0</v>
      </c>
      <c r="DD228">
        <f>SUM(BZ228:CK228)</f>
        <v>0</v>
      </c>
      <c r="DE228">
        <f>SUM(CL228:CW228)</f>
        <v>0</v>
      </c>
      <c r="DF228">
        <f>SUM(F228:CW228)</f>
        <v>14096.479999999998</v>
      </c>
    </row>
    <row r="229" spans="1:110"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c r="CX229">
        <f>SUM(F229:Q229)</f>
        <v>0</v>
      </c>
      <c r="CY229">
        <f>SUM(R229:AC229)</f>
        <v>0</v>
      </c>
      <c r="CZ229">
        <f>SUM(AD229:AO229)</f>
        <v>0</v>
      </c>
      <c r="DA229">
        <f>SUM(AP229:BA229)</f>
        <v>0</v>
      </c>
      <c r="DB229">
        <f>SUM(BB229:BM229)</f>
        <v>0</v>
      </c>
      <c r="DC229">
        <f>SUM(BN229:BY229)</f>
        <v>0</v>
      </c>
      <c r="DD229">
        <f>SUM(BZ229:CK229)</f>
        <v>6607.1399999999994</v>
      </c>
      <c r="DE229">
        <f>SUM(CL229:CW229)</f>
        <v>0</v>
      </c>
      <c r="DF229">
        <f>SUM(F229:CW229)</f>
        <v>6607.1399999999994</v>
      </c>
    </row>
    <row r="230" spans="1:110"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c r="CX230">
        <f>SUM(F230:Q230)</f>
        <v>0</v>
      </c>
      <c r="CY230">
        <f>SUM(R230:AC230)</f>
        <v>0</v>
      </c>
      <c r="CZ230">
        <f>SUM(AD230:AO230)</f>
        <v>0</v>
      </c>
      <c r="DA230">
        <f>SUM(AP230:BA230)</f>
        <v>0</v>
      </c>
      <c r="DB230">
        <f>SUM(BB230:BM230)</f>
        <v>6767.62</v>
      </c>
      <c r="DC230">
        <f>SUM(BN230:BY230)</f>
        <v>0</v>
      </c>
      <c r="DD230">
        <f>SUM(BZ230:CK230)</f>
        <v>0</v>
      </c>
      <c r="DE230">
        <f>SUM(CL230:CW230)</f>
        <v>0</v>
      </c>
      <c r="DF230">
        <f>SUM(F230:CW230)</f>
        <v>6767.62</v>
      </c>
    </row>
    <row r="231" spans="1:110"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c r="CX231">
        <f>SUM(F231:Q231)</f>
        <v>0</v>
      </c>
      <c r="CY231">
        <f>SUM(R231:AC231)</f>
        <v>0</v>
      </c>
      <c r="CZ231">
        <f>SUM(AD231:AO231)</f>
        <v>0</v>
      </c>
      <c r="DA231">
        <f>SUM(AP231:BA231)</f>
        <v>0</v>
      </c>
      <c r="DB231">
        <f>SUM(BB231:BM231)</f>
        <v>0</v>
      </c>
      <c r="DC231">
        <f>SUM(BN231:BY231)</f>
        <v>0</v>
      </c>
      <c r="DD231">
        <f>SUM(BZ231:CK231)</f>
        <v>1001.76</v>
      </c>
      <c r="DE231">
        <f>SUM(CL231:CW231)</f>
        <v>211.7</v>
      </c>
      <c r="DF231">
        <f>SUM(F231:CW231)</f>
        <v>1213.46</v>
      </c>
    </row>
    <row r="232" spans="1:110"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c r="CX232">
        <f>SUM(F232:Q232)</f>
        <v>0</v>
      </c>
      <c r="CY232">
        <f>SUM(R232:AC232)</f>
        <v>0</v>
      </c>
      <c r="CZ232">
        <f>SUM(AD232:AO232)</f>
        <v>0</v>
      </c>
      <c r="DA232">
        <f>SUM(AP232:BA232)</f>
        <v>0</v>
      </c>
      <c r="DB232">
        <f>SUM(BB232:BM232)</f>
        <v>0</v>
      </c>
      <c r="DC232">
        <f>SUM(BN232:BY232)</f>
        <v>2497.56</v>
      </c>
      <c r="DD232">
        <f>SUM(BZ232:CK232)</f>
        <v>0</v>
      </c>
      <c r="DE232">
        <f>SUM(CL232:CW232)</f>
        <v>0</v>
      </c>
      <c r="DF232">
        <f>SUM(F232:CW232)</f>
        <v>2497.56</v>
      </c>
    </row>
    <row r="233" spans="1:110"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c r="CX233">
        <f>SUM(F233:Q233)</f>
        <v>0</v>
      </c>
      <c r="CY233">
        <f>SUM(R233:AC233)</f>
        <v>0</v>
      </c>
      <c r="CZ233">
        <f>SUM(AD233:AO233)</f>
        <v>0</v>
      </c>
      <c r="DA233">
        <f>SUM(AP233:BA233)</f>
        <v>0</v>
      </c>
      <c r="DB233">
        <f>SUM(BB233:BM233)</f>
        <v>0</v>
      </c>
      <c r="DC233">
        <f>SUM(BN233:BY233)</f>
        <v>0</v>
      </c>
      <c r="DD233">
        <f>SUM(BZ233:CK233)</f>
        <v>0</v>
      </c>
      <c r="DE233">
        <f>SUM(CL233:CW233)</f>
        <v>10392.800000000001</v>
      </c>
      <c r="DF233">
        <f>SUM(F233:CW233)</f>
        <v>10392.800000000001</v>
      </c>
    </row>
    <row r="234" spans="1:110"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c r="CX234">
        <f>SUM(F234:Q234)</f>
        <v>0</v>
      </c>
      <c r="CY234">
        <f>SUM(R234:AC234)</f>
        <v>0</v>
      </c>
      <c r="CZ234">
        <f>SUM(AD234:AO234)</f>
        <v>0</v>
      </c>
      <c r="DA234">
        <f>SUM(AP234:BA234)</f>
        <v>0</v>
      </c>
      <c r="DB234">
        <f>SUM(BB234:BM234)</f>
        <v>0</v>
      </c>
      <c r="DC234">
        <f>SUM(BN234:BY234)</f>
        <v>0</v>
      </c>
      <c r="DD234">
        <f>SUM(BZ234:CK234)</f>
        <v>9130.7799999999988</v>
      </c>
      <c r="DE234">
        <f>SUM(CL234:CW234)</f>
        <v>0</v>
      </c>
      <c r="DF234">
        <f>SUM(F234:CW234)</f>
        <v>9130.7799999999988</v>
      </c>
    </row>
    <row r="235" spans="1:110"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c r="CX235">
        <f>SUM(F235:Q235)</f>
        <v>0</v>
      </c>
      <c r="CY235">
        <f>SUM(R235:AC235)</f>
        <v>0</v>
      </c>
      <c r="CZ235">
        <f>SUM(AD235:AO235)</f>
        <v>0</v>
      </c>
      <c r="DA235">
        <f>SUM(AP235:BA235)</f>
        <v>3284.86</v>
      </c>
      <c r="DB235">
        <f>SUM(BB235:BM235)</f>
        <v>10401.529999999999</v>
      </c>
      <c r="DC235">
        <f>SUM(BN235:BY235)</f>
        <v>0</v>
      </c>
      <c r="DD235">
        <f>SUM(BZ235:CK235)</f>
        <v>0</v>
      </c>
      <c r="DE235">
        <f>SUM(CL235:CW235)</f>
        <v>0</v>
      </c>
      <c r="DF235">
        <f>SUM(F235:CW235)</f>
        <v>13686.39</v>
      </c>
    </row>
    <row r="236" spans="1:110"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c r="CX236">
        <f>SUM(F236:Q236)</f>
        <v>0</v>
      </c>
      <c r="CY236">
        <f>SUM(R236:AC236)</f>
        <v>0</v>
      </c>
      <c r="CZ236">
        <f>SUM(AD236:AO236)</f>
        <v>0</v>
      </c>
      <c r="DA236">
        <f>SUM(AP236:BA236)</f>
        <v>7780.5</v>
      </c>
      <c r="DB236">
        <f>SUM(BB236:BM236)</f>
        <v>21622.74</v>
      </c>
      <c r="DC236">
        <f>SUM(BN236:BY236)</f>
        <v>8993.9500000000007</v>
      </c>
      <c r="DD236">
        <f>SUM(BZ236:CK236)</f>
        <v>0</v>
      </c>
      <c r="DE236">
        <f>SUM(CL236:CW236)</f>
        <v>0</v>
      </c>
      <c r="DF236">
        <f>SUM(F236:CW236)</f>
        <v>38397.189999999995</v>
      </c>
    </row>
    <row r="237" spans="1:110"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c r="CX237">
        <f>SUM(F237:Q237)</f>
        <v>0</v>
      </c>
      <c r="CY237">
        <f>SUM(R237:AC237)</f>
        <v>0</v>
      </c>
      <c r="CZ237">
        <f>SUM(AD237:AO237)</f>
        <v>9792.66</v>
      </c>
      <c r="DA237">
        <f>SUM(AP237:BA237)</f>
        <v>0</v>
      </c>
      <c r="DB237">
        <f>SUM(BB237:BM237)</f>
        <v>0</v>
      </c>
      <c r="DC237">
        <f>SUM(BN237:BY237)</f>
        <v>0</v>
      </c>
      <c r="DD237">
        <f>SUM(BZ237:CK237)</f>
        <v>0</v>
      </c>
      <c r="DE237">
        <f>SUM(CL237:CW237)</f>
        <v>0</v>
      </c>
      <c r="DF237">
        <f>SUM(F237:CW237)</f>
        <v>9792.66</v>
      </c>
    </row>
    <row r="238" spans="1:110"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c r="CX238">
        <f>SUM(F238:Q238)</f>
        <v>0</v>
      </c>
      <c r="CY238">
        <f>SUM(R238:AC238)</f>
        <v>2053.12</v>
      </c>
      <c r="CZ238">
        <f>SUM(AD238:AO238)</f>
        <v>0</v>
      </c>
      <c r="DA238">
        <f>SUM(AP238:BA238)</f>
        <v>0</v>
      </c>
      <c r="DB238">
        <f>SUM(BB238:BM238)</f>
        <v>0</v>
      </c>
      <c r="DC238">
        <f>SUM(BN238:BY238)</f>
        <v>0</v>
      </c>
      <c r="DD238">
        <f>SUM(BZ238:CK238)</f>
        <v>0</v>
      </c>
      <c r="DE238">
        <f>SUM(CL238:CW238)</f>
        <v>0</v>
      </c>
      <c r="DF238">
        <f>SUM(F238:CW238)</f>
        <v>2053.12</v>
      </c>
    </row>
    <row r="239" spans="1:110"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c r="CX239">
        <f>SUM(F239:Q239)</f>
        <v>0</v>
      </c>
      <c r="CY239">
        <f>SUM(R239:AC239)</f>
        <v>0</v>
      </c>
      <c r="CZ239">
        <f>SUM(AD239:AO239)</f>
        <v>0</v>
      </c>
      <c r="DA239">
        <f>SUM(AP239:BA239)</f>
        <v>0</v>
      </c>
      <c r="DB239">
        <f>SUM(BB239:BM239)</f>
        <v>0</v>
      </c>
      <c r="DC239">
        <f>SUM(BN239:BY239)</f>
        <v>29449.43</v>
      </c>
      <c r="DD239">
        <f>SUM(BZ239:CK239)</f>
        <v>1518.33</v>
      </c>
      <c r="DE239">
        <f>SUM(CL239:CW239)</f>
        <v>0</v>
      </c>
      <c r="DF239">
        <f>SUM(F239:CW239)</f>
        <v>30967.760000000002</v>
      </c>
    </row>
    <row r="240" spans="1:110"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c r="CX240">
        <f>SUM(F240:Q240)</f>
        <v>0</v>
      </c>
      <c r="CY240">
        <f>SUM(R240:AC240)</f>
        <v>0</v>
      </c>
      <c r="CZ240">
        <f>SUM(AD240:AO240)</f>
        <v>0</v>
      </c>
      <c r="DA240">
        <f>SUM(AP240:BA240)</f>
        <v>0</v>
      </c>
      <c r="DB240">
        <f>SUM(BB240:BM240)</f>
        <v>0</v>
      </c>
      <c r="DC240">
        <f>SUM(BN240:BY240)</f>
        <v>1649.12</v>
      </c>
      <c r="DD240">
        <f>SUM(BZ240:CK240)</f>
        <v>5341.8899999999994</v>
      </c>
      <c r="DE240">
        <f>SUM(CL240:CW240)</f>
        <v>0</v>
      </c>
      <c r="DF240">
        <f>SUM(F240:CW240)</f>
        <v>6991.01</v>
      </c>
    </row>
    <row r="241" spans="1:110"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c r="CX241">
        <f>SUM(F241:Q241)</f>
        <v>0</v>
      </c>
      <c r="CY241">
        <f>SUM(R241:AC241)</f>
        <v>0</v>
      </c>
      <c r="CZ241">
        <f>SUM(AD241:AO241)</f>
        <v>7790.5100000000011</v>
      </c>
      <c r="DA241">
        <f>SUM(AP241:BA241)</f>
        <v>8152.9400000000005</v>
      </c>
      <c r="DB241">
        <f>SUM(BB241:BM241)</f>
        <v>476.61</v>
      </c>
      <c r="DC241">
        <f>SUM(BN241:BY241)</f>
        <v>0</v>
      </c>
      <c r="DD241">
        <f>SUM(BZ241:CK241)</f>
        <v>0</v>
      </c>
      <c r="DE241">
        <f>SUM(CL241:CW241)</f>
        <v>0</v>
      </c>
      <c r="DF241">
        <f>SUM(F241:CW241)</f>
        <v>16420.060000000001</v>
      </c>
    </row>
    <row r="242" spans="1:110"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c r="CX242">
        <f>SUM(F242:Q242)</f>
        <v>0</v>
      </c>
      <c r="CY242">
        <f>SUM(R242:AC242)</f>
        <v>0</v>
      </c>
      <c r="CZ242">
        <f>SUM(AD242:AO242)</f>
        <v>0</v>
      </c>
      <c r="DA242">
        <f>SUM(AP242:BA242)</f>
        <v>0</v>
      </c>
      <c r="DB242">
        <f>SUM(BB242:BM242)</f>
        <v>0</v>
      </c>
      <c r="DC242">
        <f>SUM(BN242:BY242)</f>
        <v>0</v>
      </c>
      <c r="DD242">
        <f>SUM(BZ242:CK242)</f>
        <v>2358.25</v>
      </c>
      <c r="DE242">
        <f>SUM(CL242:CW242)</f>
        <v>2148.4</v>
      </c>
      <c r="DF242">
        <f>SUM(F242:CW242)</f>
        <v>4506.6500000000005</v>
      </c>
    </row>
    <row r="243" spans="1:110"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c r="CX243">
        <f>SUM(F243:Q243)</f>
        <v>0</v>
      </c>
      <c r="CY243">
        <f>SUM(R243:AC243)</f>
        <v>0</v>
      </c>
      <c r="CZ243">
        <f>SUM(AD243:AO243)</f>
        <v>0</v>
      </c>
      <c r="DA243">
        <f>SUM(AP243:BA243)</f>
        <v>0</v>
      </c>
      <c r="DB243">
        <f>SUM(BB243:BM243)</f>
        <v>0</v>
      </c>
      <c r="DC243">
        <f>SUM(BN243:BY243)</f>
        <v>0</v>
      </c>
      <c r="DD243">
        <f>SUM(BZ243:CK243)</f>
        <v>0</v>
      </c>
      <c r="DE243">
        <f>SUM(CL243:CW243)</f>
        <v>8038.8000000000011</v>
      </c>
      <c r="DF243">
        <f>SUM(F243:CW243)</f>
        <v>8038.8000000000011</v>
      </c>
    </row>
    <row r="244" spans="1:110"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c r="CX244">
        <f>SUM(F244:Q244)</f>
        <v>0</v>
      </c>
      <c r="CY244">
        <f>SUM(R244:AC244)</f>
        <v>0</v>
      </c>
      <c r="CZ244">
        <f>SUM(AD244:AO244)</f>
        <v>0</v>
      </c>
      <c r="DA244">
        <f>SUM(AP244:BA244)</f>
        <v>0</v>
      </c>
      <c r="DB244">
        <f>SUM(BB244:BM244)</f>
        <v>0</v>
      </c>
      <c r="DC244">
        <f>SUM(BN244:BY244)</f>
        <v>5235.96</v>
      </c>
      <c r="DD244">
        <f>SUM(BZ244:CK244)</f>
        <v>3260.73</v>
      </c>
      <c r="DE244">
        <f>SUM(CL244:CW244)</f>
        <v>0</v>
      </c>
      <c r="DF244">
        <f>SUM(F244:CW244)</f>
        <v>8496.69</v>
      </c>
    </row>
    <row r="245" spans="1:110"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c r="CX245">
        <f>SUM(F245:Q245)</f>
        <v>0</v>
      </c>
      <c r="CY245">
        <f>SUM(R245:AC245)</f>
        <v>0</v>
      </c>
      <c r="CZ245">
        <f>SUM(AD245:AO245)</f>
        <v>0</v>
      </c>
      <c r="DA245">
        <f>SUM(AP245:BA245)</f>
        <v>0</v>
      </c>
      <c r="DB245">
        <f>SUM(BB245:BM245)</f>
        <v>5779.9099999999989</v>
      </c>
      <c r="DC245">
        <f>SUM(BN245:BY245)</f>
        <v>4136.25</v>
      </c>
      <c r="DD245">
        <f>SUM(BZ245:CK245)</f>
        <v>0</v>
      </c>
      <c r="DE245">
        <f>SUM(CL245:CW245)</f>
        <v>0</v>
      </c>
      <c r="DF245">
        <f>SUM(F245:CW245)</f>
        <v>9916.16</v>
      </c>
    </row>
    <row r="246" spans="1:110"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c r="CX246">
        <f>SUM(F246:Q246)</f>
        <v>0</v>
      </c>
      <c r="CY246">
        <f>SUM(R246:AC246)</f>
        <v>0</v>
      </c>
      <c r="CZ246">
        <f>SUM(AD246:AO246)</f>
        <v>0</v>
      </c>
      <c r="DA246">
        <f>SUM(AP246:BA246)</f>
        <v>0</v>
      </c>
      <c r="DB246">
        <f>SUM(BB246:BM246)</f>
        <v>0</v>
      </c>
      <c r="DC246">
        <f>SUM(BN246:BY246)</f>
        <v>0</v>
      </c>
      <c r="DD246">
        <f>SUM(BZ246:CK246)</f>
        <v>0</v>
      </c>
      <c r="DE246">
        <f>SUM(CL246:CW246)</f>
        <v>18933.84</v>
      </c>
      <c r="DF246">
        <f>SUM(F246:CW246)</f>
        <v>18933.84</v>
      </c>
    </row>
    <row r="247" spans="1:110"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c r="CX247">
        <f>SUM(F247:Q247)</f>
        <v>0</v>
      </c>
      <c r="CY247">
        <f>SUM(R247:AC247)</f>
        <v>0</v>
      </c>
      <c r="CZ247">
        <f>SUM(AD247:AO247)</f>
        <v>1731.4899999999998</v>
      </c>
      <c r="DA247">
        <f>SUM(AP247:BA247)</f>
        <v>0</v>
      </c>
      <c r="DB247">
        <f>SUM(BB247:BM247)</f>
        <v>0</v>
      </c>
      <c r="DC247">
        <f>SUM(BN247:BY247)</f>
        <v>0</v>
      </c>
      <c r="DD247">
        <f>SUM(BZ247:CK247)</f>
        <v>0</v>
      </c>
      <c r="DE247">
        <f>SUM(CL247:CW247)</f>
        <v>0</v>
      </c>
      <c r="DF247">
        <f>SUM(F247:CW247)</f>
        <v>1731.4899999999998</v>
      </c>
    </row>
    <row r="248" spans="1:110"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c r="CX248">
        <f>SUM(F248:Q248)</f>
        <v>0</v>
      </c>
      <c r="CY248">
        <f>SUM(R248:AC248)</f>
        <v>0</v>
      </c>
      <c r="CZ248">
        <f>SUM(AD248:AO248)</f>
        <v>0</v>
      </c>
      <c r="DA248">
        <f>SUM(AP248:BA248)</f>
        <v>0</v>
      </c>
      <c r="DB248">
        <f>SUM(BB248:BM248)</f>
        <v>0</v>
      </c>
      <c r="DC248">
        <f>SUM(BN248:BY248)</f>
        <v>0</v>
      </c>
      <c r="DD248">
        <f>SUM(BZ248:CK248)</f>
        <v>3181.32</v>
      </c>
      <c r="DE248">
        <f>SUM(CL248:CW248)</f>
        <v>0</v>
      </c>
      <c r="DF248">
        <f>SUM(F248:CW248)</f>
        <v>3181.32</v>
      </c>
    </row>
    <row r="249" spans="1:110"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c r="CX249">
        <f>SUM(F249:Q249)</f>
        <v>0</v>
      </c>
      <c r="CY249">
        <f>SUM(R249:AC249)</f>
        <v>0</v>
      </c>
      <c r="CZ249">
        <f>SUM(AD249:AO249)</f>
        <v>0</v>
      </c>
      <c r="DA249">
        <f>SUM(AP249:BA249)</f>
        <v>1306.06</v>
      </c>
      <c r="DB249">
        <f>SUM(BB249:BM249)</f>
        <v>5135.2599999999993</v>
      </c>
      <c r="DC249">
        <f>SUM(BN249:BY249)</f>
        <v>0</v>
      </c>
      <c r="DD249">
        <f>SUM(BZ249:CK249)</f>
        <v>0</v>
      </c>
      <c r="DE249">
        <f>SUM(CL249:CW249)</f>
        <v>0</v>
      </c>
      <c r="DF249">
        <f>SUM(F249:CW249)</f>
        <v>6441.32</v>
      </c>
    </row>
    <row r="250" spans="1:110"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c r="CX250">
        <f>SUM(F250:Q250)</f>
        <v>0</v>
      </c>
      <c r="CY250">
        <f>SUM(R250:AC250)</f>
        <v>0</v>
      </c>
      <c r="CZ250">
        <f>SUM(AD250:AO250)</f>
        <v>0</v>
      </c>
      <c r="DA250">
        <f>SUM(AP250:BA250)</f>
        <v>0</v>
      </c>
      <c r="DB250">
        <f>SUM(BB250:BM250)</f>
        <v>4286.6899999999996</v>
      </c>
      <c r="DC250">
        <f>SUM(BN250:BY250)</f>
        <v>0</v>
      </c>
      <c r="DD250">
        <f>SUM(BZ250:CK250)</f>
        <v>0</v>
      </c>
      <c r="DE250">
        <f>SUM(CL250:CW250)</f>
        <v>0</v>
      </c>
      <c r="DF250">
        <f>SUM(F250:CW250)</f>
        <v>4286.6899999999996</v>
      </c>
    </row>
    <row r="251" spans="1:110"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c r="CX251">
        <f>SUM(F251:Q251)</f>
        <v>0</v>
      </c>
      <c r="CY251">
        <f>SUM(R251:AC251)</f>
        <v>86.31</v>
      </c>
      <c r="CZ251">
        <f>SUM(AD251:AO251)</f>
        <v>2864.5699999999997</v>
      </c>
      <c r="DA251">
        <f>SUM(AP251:BA251)</f>
        <v>1955.8700000000001</v>
      </c>
      <c r="DB251">
        <f>SUM(BB251:BM251)</f>
        <v>308</v>
      </c>
      <c r="DC251">
        <f>SUM(BN251:BY251)</f>
        <v>0</v>
      </c>
      <c r="DD251">
        <f>SUM(BZ251:CK251)</f>
        <v>0</v>
      </c>
      <c r="DE251">
        <f>SUM(CL251:CW251)</f>
        <v>0</v>
      </c>
      <c r="DF251">
        <f>SUM(F251:CW251)</f>
        <v>5214.75</v>
      </c>
    </row>
    <row r="252" spans="1:110"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c r="CX252">
        <f>SUM(F252:Q252)</f>
        <v>0</v>
      </c>
      <c r="CY252">
        <f>SUM(R252:AC252)</f>
        <v>8073.41</v>
      </c>
      <c r="CZ252">
        <f>SUM(AD252:AO252)</f>
        <v>0</v>
      </c>
      <c r="DA252">
        <f>SUM(AP252:BA252)</f>
        <v>0</v>
      </c>
      <c r="DB252">
        <f>SUM(BB252:BM252)</f>
        <v>0</v>
      </c>
      <c r="DC252">
        <f>SUM(BN252:BY252)</f>
        <v>0</v>
      </c>
      <c r="DD252">
        <f>SUM(BZ252:CK252)</f>
        <v>0</v>
      </c>
      <c r="DE252">
        <f>SUM(CL252:CW252)</f>
        <v>0</v>
      </c>
      <c r="DF252">
        <f>SUM(F252:CW252)</f>
        <v>8073.41</v>
      </c>
    </row>
    <row r="253" spans="1:110"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c r="CX253">
        <f>SUM(F253:Q253)</f>
        <v>0</v>
      </c>
      <c r="CY253">
        <f>SUM(R253:AC253)</f>
        <v>0</v>
      </c>
      <c r="CZ253">
        <f>SUM(AD253:AO253)</f>
        <v>0</v>
      </c>
      <c r="DA253">
        <f>SUM(AP253:BA253)</f>
        <v>0</v>
      </c>
      <c r="DB253">
        <f>SUM(BB253:BM253)</f>
        <v>0</v>
      </c>
      <c r="DC253">
        <f>SUM(BN253:BY253)</f>
        <v>0</v>
      </c>
      <c r="DD253">
        <f>SUM(BZ253:CK253)</f>
        <v>9530.42</v>
      </c>
      <c r="DE253">
        <f>SUM(CL253:CW253)</f>
        <v>0</v>
      </c>
      <c r="DF253">
        <f>SUM(F253:CW253)</f>
        <v>9530.42</v>
      </c>
    </row>
    <row r="254" spans="1:110"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c r="CX254">
        <f>SUM(F254:Q254)</f>
        <v>0</v>
      </c>
      <c r="CY254">
        <f>SUM(R254:AC254)</f>
        <v>0</v>
      </c>
      <c r="CZ254">
        <f>SUM(AD254:AO254)</f>
        <v>0</v>
      </c>
      <c r="DA254">
        <f>SUM(AP254:BA254)</f>
        <v>0</v>
      </c>
      <c r="DB254">
        <f>SUM(BB254:BM254)</f>
        <v>0</v>
      </c>
      <c r="DC254">
        <f>SUM(BN254:BY254)</f>
        <v>4736.71</v>
      </c>
      <c r="DD254">
        <f>SUM(BZ254:CK254)</f>
        <v>901.68</v>
      </c>
      <c r="DE254">
        <f>SUM(CL254:CW254)</f>
        <v>0</v>
      </c>
      <c r="DF254">
        <f>SUM(F254:CW254)</f>
        <v>5638.39</v>
      </c>
    </row>
    <row r="255" spans="1:110"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c r="CX255">
        <f>SUM(F255:Q255)</f>
        <v>0</v>
      </c>
      <c r="CY255">
        <f>SUM(R255:AC255)</f>
        <v>0</v>
      </c>
      <c r="CZ255">
        <f>SUM(AD255:AO255)</f>
        <v>0</v>
      </c>
      <c r="DA255">
        <f>SUM(AP255:BA255)</f>
        <v>0</v>
      </c>
      <c r="DB255">
        <f>SUM(BB255:BM255)</f>
        <v>0</v>
      </c>
      <c r="DC255">
        <f>SUM(BN255:BY255)</f>
        <v>4712.29</v>
      </c>
      <c r="DD255">
        <f>SUM(BZ255:CK255)</f>
        <v>0</v>
      </c>
      <c r="DE255">
        <f>SUM(CL255:CW255)</f>
        <v>0</v>
      </c>
      <c r="DF255">
        <f>SUM(F255:CW255)</f>
        <v>4712.29</v>
      </c>
    </row>
    <row r="256" spans="1:110"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c r="CX256">
        <f>SUM(F256:Q256)</f>
        <v>0</v>
      </c>
      <c r="CY256">
        <f>SUM(R256:AC256)</f>
        <v>0</v>
      </c>
      <c r="CZ256">
        <f>SUM(AD256:AO256)</f>
        <v>0</v>
      </c>
      <c r="DA256">
        <f>SUM(AP256:BA256)</f>
        <v>0</v>
      </c>
      <c r="DB256">
        <f>SUM(BB256:BM256)</f>
        <v>0</v>
      </c>
      <c r="DC256">
        <f>SUM(BN256:BY256)</f>
        <v>0</v>
      </c>
      <c r="DD256">
        <f>SUM(BZ256:CK256)</f>
        <v>12190.12</v>
      </c>
      <c r="DE256">
        <f>SUM(CL256:CW256)</f>
        <v>0</v>
      </c>
      <c r="DF256">
        <f>SUM(F256:CW256)</f>
        <v>12190.12</v>
      </c>
    </row>
    <row r="257" spans="1:110"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c r="CX257">
        <f>SUM(F257:Q257)</f>
        <v>0</v>
      </c>
      <c r="CY257">
        <f>SUM(R257:AC257)</f>
        <v>0</v>
      </c>
      <c r="CZ257">
        <f>SUM(AD257:AO257)</f>
        <v>0</v>
      </c>
      <c r="DA257">
        <f>SUM(AP257:BA257)</f>
        <v>0</v>
      </c>
      <c r="DB257">
        <f>SUM(BB257:BM257)</f>
        <v>0</v>
      </c>
      <c r="DC257">
        <f>SUM(BN257:BY257)</f>
        <v>0</v>
      </c>
      <c r="DD257">
        <f>SUM(BZ257:CK257)</f>
        <v>0</v>
      </c>
      <c r="DE257">
        <f>SUM(CL257:CW257)</f>
        <v>1112.06</v>
      </c>
      <c r="DF257">
        <f>SUM(F257:CW257)</f>
        <v>1112.06</v>
      </c>
    </row>
    <row r="258" spans="1:110"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c r="CX258">
        <f>SUM(F258:Q258)</f>
        <v>0</v>
      </c>
      <c r="CY258">
        <f>SUM(R258:AC258)</f>
        <v>0</v>
      </c>
      <c r="CZ258">
        <f>SUM(AD258:AO258)</f>
        <v>0</v>
      </c>
      <c r="DA258">
        <f>SUM(AP258:BA258)</f>
        <v>0</v>
      </c>
      <c r="DB258">
        <f>SUM(BB258:BM258)</f>
        <v>0</v>
      </c>
      <c r="DC258">
        <f>SUM(BN258:BY258)</f>
        <v>0</v>
      </c>
      <c r="DD258">
        <f>SUM(BZ258:CK258)</f>
        <v>0</v>
      </c>
      <c r="DE258">
        <f>SUM(CL258:CW258)</f>
        <v>1351.4299999999998</v>
      </c>
      <c r="DF258">
        <f>SUM(F258:CW258)</f>
        <v>1351.4299999999998</v>
      </c>
    </row>
    <row r="259" spans="1:110"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c r="CX259">
        <f>SUM(F259:Q259)</f>
        <v>1045.44</v>
      </c>
      <c r="CY259">
        <f>SUM(R259:AC259)</f>
        <v>454.55</v>
      </c>
      <c r="CZ259">
        <f>SUM(AD259:AO259)</f>
        <v>0</v>
      </c>
      <c r="DA259">
        <f>SUM(AP259:BA259)</f>
        <v>0</v>
      </c>
      <c r="DB259">
        <f>SUM(BB259:BM259)</f>
        <v>0</v>
      </c>
      <c r="DC259">
        <f>SUM(BN259:BY259)</f>
        <v>0</v>
      </c>
      <c r="DD259">
        <f>SUM(BZ259:CK259)</f>
        <v>0</v>
      </c>
      <c r="DE259">
        <f>SUM(CL259:CW259)</f>
        <v>0</v>
      </c>
      <c r="DF259">
        <f>SUM(F259:CW259)</f>
        <v>1499.99</v>
      </c>
    </row>
    <row r="260" spans="1:110"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c r="CX260">
        <f>SUM(F260:Q260)</f>
        <v>0</v>
      </c>
      <c r="CY260">
        <f>SUM(R260:AC260)</f>
        <v>0</v>
      </c>
      <c r="CZ260">
        <f>SUM(AD260:AO260)</f>
        <v>0</v>
      </c>
      <c r="DA260">
        <f>SUM(AP260:BA260)</f>
        <v>0</v>
      </c>
      <c r="DB260">
        <f>SUM(BB260:BM260)</f>
        <v>0</v>
      </c>
      <c r="DC260">
        <f>SUM(BN260:BY260)</f>
        <v>2656.6499999999996</v>
      </c>
      <c r="DD260">
        <f>SUM(BZ260:CK260)</f>
        <v>4100.5199999999995</v>
      </c>
      <c r="DE260">
        <f>SUM(CL260:CW260)</f>
        <v>0</v>
      </c>
      <c r="DF260">
        <f>SUM(F260:CW260)</f>
        <v>6757.1699999999992</v>
      </c>
    </row>
    <row r="261" spans="1:110"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c r="CX261">
        <f>SUM(F261:Q261)</f>
        <v>0</v>
      </c>
      <c r="CY261">
        <f>SUM(R261:AC261)</f>
        <v>0</v>
      </c>
      <c r="CZ261">
        <f>SUM(AD261:AO261)</f>
        <v>0</v>
      </c>
      <c r="DA261">
        <f>SUM(AP261:BA261)</f>
        <v>0</v>
      </c>
      <c r="DB261">
        <f>SUM(BB261:BM261)</f>
        <v>0</v>
      </c>
      <c r="DC261">
        <f>SUM(BN261:BY261)</f>
        <v>6189.8399999999992</v>
      </c>
      <c r="DD261">
        <f>SUM(BZ261:CK261)</f>
        <v>0</v>
      </c>
      <c r="DE261">
        <f>SUM(CL261:CW261)</f>
        <v>0</v>
      </c>
      <c r="DF261">
        <f>SUM(F261:CW261)</f>
        <v>6189.8399999999992</v>
      </c>
    </row>
    <row r="262" spans="1:110"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c r="CX262">
        <f>SUM(F262:Q262)</f>
        <v>20314.66</v>
      </c>
      <c r="CY262">
        <f>SUM(R262:AC262)</f>
        <v>14349.45</v>
      </c>
      <c r="CZ262">
        <f>SUM(AD262:AO262)</f>
        <v>0</v>
      </c>
      <c r="DA262">
        <f>SUM(AP262:BA262)</f>
        <v>0</v>
      </c>
      <c r="DB262">
        <f>SUM(BB262:BM262)</f>
        <v>0</v>
      </c>
      <c r="DC262">
        <f>SUM(BN262:BY262)</f>
        <v>0</v>
      </c>
      <c r="DD262">
        <f>SUM(BZ262:CK262)</f>
        <v>0</v>
      </c>
      <c r="DE262">
        <f>SUM(CL262:CW262)</f>
        <v>0</v>
      </c>
      <c r="DF262">
        <f>SUM(F262:CW262)</f>
        <v>34664.11</v>
      </c>
    </row>
    <row r="263" spans="1:110"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c r="CX263">
        <f>SUM(F263:Q263)</f>
        <v>0</v>
      </c>
      <c r="CY263">
        <f>SUM(R263:AC263)</f>
        <v>3788.89</v>
      </c>
      <c r="CZ263">
        <f>SUM(AD263:AO263)</f>
        <v>3298.35</v>
      </c>
      <c r="DA263">
        <f>SUM(AP263:BA263)</f>
        <v>0</v>
      </c>
      <c r="DB263">
        <f>SUM(BB263:BM263)</f>
        <v>0</v>
      </c>
      <c r="DC263">
        <f>SUM(BN263:BY263)</f>
        <v>0</v>
      </c>
      <c r="DD263">
        <f>SUM(BZ263:CK263)</f>
        <v>0</v>
      </c>
      <c r="DE263">
        <f>SUM(CL263:CW263)</f>
        <v>0</v>
      </c>
      <c r="DF263">
        <f>SUM(F263:CW263)</f>
        <v>7087.24</v>
      </c>
    </row>
    <row r="264" spans="1:110"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c r="CX264">
        <f>SUM(F264:Q264)</f>
        <v>0</v>
      </c>
      <c r="CY264">
        <f>SUM(R264:AC264)</f>
        <v>0</v>
      </c>
      <c r="CZ264">
        <f>SUM(AD264:AO264)</f>
        <v>0</v>
      </c>
      <c r="DA264">
        <f>SUM(AP264:BA264)</f>
        <v>2295.35</v>
      </c>
      <c r="DB264">
        <f>SUM(BB264:BM264)</f>
        <v>11340.83</v>
      </c>
      <c r="DC264">
        <f>SUM(BN264:BY264)</f>
        <v>0</v>
      </c>
      <c r="DD264">
        <f>SUM(BZ264:CK264)</f>
        <v>0</v>
      </c>
      <c r="DE264">
        <f>SUM(CL264:CW264)</f>
        <v>0</v>
      </c>
      <c r="DF264">
        <f>SUM(F264:CW264)</f>
        <v>13636.180000000002</v>
      </c>
    </row>
    <row r="265" spans="1:110"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c r="CX265">
        <f>SUM(F265:Q265)</f>
        <v>0</v>
      </c>
      <c r="CY265">
        <f>SUM(R265:AC265)</f>
        <v>0</v>
      </c>
      <c r="CZ265">
        <f>SUM(AD265:AO265)</f>
        <v>601.71</v>
      </c>
      <c r="DA265">
        <f>SUM(AP265:BA265)</f>
        <v>2382.8000000000002</v>
      </c>
      <c r="DB265">
        <f>SUM(BB265:BM265)</f>
        <v>571.88</v>
      </c>
      <c r="DC265">
        <f>SUM(BN265:BY265)</f>
        <v>0</v>
      </c>
      <c r="DD265">
        <f>SUM(BZ265:CK265)</f>
        <v>0</v>
      </c>
      <c r="DE265">
        <f>SUM(CL265:CW265)</f>
        <v>0</v>
      </c>
      <c r="DF265">
        <f>SUM(F265:CW265)</f>
        <v>3556.3900000000003</v>
      </c>
    </row>
    <row r="266" spans="1:110"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c r="CX266">
        <f>SUM(F266:Q266)</f>
        <v>0</v>
      </c>
      <c r="CY266">
        <f>SUM(R266:AC266)</f>
        <v>0</v>
      </c>
      <c r="CZ266">
        <f>SUM(AD266:AO266)</f>
        <v>0</v>
      </c>
      <c r="DA266">
        <f>SUM(AP266:BA266)</f>
        <v>0</v>
      </c>
      <c r="DB266">
        <f>SUM(BB266:BM266)</f>
        <v>0</v>
      </c>
      <c r="DC266">
        <f>SUM(BN266:BY266)</f>
        <v>4784.83</v>
      </c>
      <c r="DD266">
        <f>SUM(BZ266:CK266)</f>
        <v>581.6</v>
      </c>
      <c r="DE266">
        <f>SUM(CL266:CW266)</f>
        <v>0</v>
      </c>
      <c r="DF266">
        <f>SUM(F266:CW266)</f>
        <v>5366.43</v>
      </c>
    </row>
    <row r="267" spans="1:110"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c r="CX267">
        <f>SUM(F267:Q267)</f>
        <v>0</v>
      </c>
      <c r="CY267">
        <f>SUM(R267:AC267)</f>
        <v>0</v>
      </c>
      <c r="CZ267">
        <f>SUM(AD267:AO267)</f>
        <v>0</v>
      </c>
      <c r="DA267">
        <f>SUM(AP267:BA267)</f>
        <v>0</v>
      </c>
      <c r="DB267">
        <f>SUM(BB267:BM267)</f>
        <v>3289.66</v>
      </c>
      <c r="DC267">
        <f>SUM(BN267:BY267)</f>
        <v>2746.75</v>
      </c>
      <c r="DD267">
        <f>SUM(BZ267:CK267)</f>
        <v>0</v>
      </c>
      <c r="DE267">
        <f>SUM(CL267:CW267)</f>
        <v>0</v>
      </c>
      <c r="DF267">
        <f>SUM(F267:CW267)</f>
        <v>6036.41</v>
      </c>
    </row>
    <row r="268" spans="1:110"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c r="CX268">
        <f>SUM(F268:Q268)</f>
        <v>0</v>
      </c>
      <c r="CY268">
        <f>SUM(R268:AC268)</f>
        <v>0</v>
      </c>
      <c r="CZ268">
        <f>SUM(AD268:AO268)</f>
        <v>0</v>
      </c>
      <c r="DA268">
        <f>SUM(AP268:BA268)</f>
        <v>0</v>
      </c>
      <c r="DB268">
        <f>SUM(BB268:BM268)</f>
        <v>1588.4099999999999</v>
      </c>
      <c r="DC268">
        <f>SUM(BN268:BY268)</f>
        <v>0</v>
      </c>
      <c r="DD268">
        <f>SUM(BZ268:CK268)</f>
        <v>0</v>
      </c>
      <c r="DE268">
        <f>SUM(CL268:CW268)</f>
        <v>0</v>
      </c>
      <c r="DF268">
        <f>SUM(F268:CW268)</f>
        <v>1588.4099999999999</v>
      </c>
    </row>
    <row r="269" spans="1:110"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c r="CX269">
        <f>SUM(F269:Q269)</f>
        <v>0</v>
      </c>
      <c r="CY269">
        <f>SUM(R269:AC269)</f>
        <v>0</v>
      </c>
      <c r="CZ269">
        <f>SUM(AD269:AO269)</f>
        <v>0</v>
      </c>
      <c r="DA269">
        <f>SUM(AP269:BA269)</f>
        <v>0</v>
      </c>
      <c r="DB269">
        <f>SUM(BB269:BM269)</f>
        <v>5723.66</v>
      </c>
      <c r="DC269">
        <f>SUM(BN269:BY269)</f>
        <v>1573.53</v>
      </c>
      <c r="DD269">
        <f>SUM(BZ269:CK269)</f>
        <v>0</v>
      </c>
      <c r="DE269">
        <f>SUM(CL269:CW269)</f>
        <v>0</v>
      </c>
      <c r="DF269">
        <f>SUM(F269:CW269)</f>
        <v>7297.19</v>
      </c>
    </row>
    <row r="270" spans="1:110"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c r="CX270">
        <f>SUM(F270:Q270)</f>
        <v>0</v>
      </c>
      <c r="CY270">
        <f>SUM(R270:AC270)</f>
        <v>0</v>
      </c>
      <c r="CZ270">
        <f>SUM(AD270:AO270)</f>
        <v>0</v>
      </c>
      <c r="DA270">
        <f>SUM(AP270:BA270)</f>
        <v>0</v>
      </c>
      <c r="DB270">
        <f>SUM(BB270:BM270)</f>
        <v>0</v>
      </c>
      <c r="DC270">
        <f>SUM(BN270:BY270)</f>
        <v>0</v>
      </c>
      <c r="DD270">
        <f>SUM(BZ270:CK270)</f>
        <v>6242.54</v>
      </c>
      <c r="DE270">
        <f>SUM(CL270:CW270)</f>
        <v>2127.4</v>
      </c>
      <c r="DF270">
        <f>SUM(F270:CW270)</f>
        <v>8369.94</v>
      </c>
    </row>
    <row r="271" spans="1:110"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c r="CX271">
        <f>SUM(F271:Q271)</f>
        <v>0</v>
      </c>
      <c r="CY271">
        <f>SUM(R271:AC271)</f>
        <v>0</v>
      </c>
      <c r="CZ271">
        <f>SUM(AD271:AO271)</f>
        <v>0</v>
      </c>
      <c r="DA271">
        <f>SUM(AP271:BA271)</f>
        <v>0</v>
      </c>
      <c r="DB271">
        <f>SUM(BB271:BM271)</f>
        <v>12770.63</v>
      </c>
      <c r="DC271">
        <f>SUM(BN271:BY271)</f>
        <v>26144.54</v>
      </c>
      <c r="DD271">
        <f>SUM(BZ271:CK271)</f>
        <v>1652.35</v>
      </c>
      <c r="DE271">
        <f>SUM(CL271:CW271)</f>
        <v>0</v>
      </c>
      <c r="DF271">
        <f>SUM(F271:CW271)</f>
        <v>40567.519999999997</v>
      </c>
    </row>
    <row r="272" spans="1:110"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c r="CX272">
        <f>SUM(F272:Q272)</f>
        <v>0</v>
      </c>
      <c r="CY272">
        <f>SUM(R272:AC272)</f>
        <v>0</v>
      </c>
      <c r="CZ272">
        <f>SUM(AD272:AO272)</f>
        <v>0</v>
      </c>
      <c r="DA272">
        <f>SUM(AP272:BA272)</f>
        <v>4920.8999999999996</v>
      </c>
      <c r="DB272">
        <f>SUM(BB272:BM272)</f>
        <v>17111.599999999999</v>
      </c>
      <c r="DC272">
        <f>SUM(BN272:BY272)</f>
        <v>7100.17</v>
      </c>
      <c r="DD272">
        <f>SUM(BZ272:CK272)</f>
        <v>0</v>
      </c>
      <c r="DE272">
        <f>SUM(CL272:CW272)</f>
        <v>0</v>
      </c>
      <c r="DF272">
        <f>SUM(F272:CW272)</f>
        <v>29132.67</v>
      </c>
    </row>
    <row r="273" spans="1:110"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c r="CX273">
        <f>SUM(F273:Q273)</f>
        <v>0</v>
      </c>
      <c r="CY273">
        <f>SUM(R273:AC273)</f>
        <v>0</v>
      </c>
      <c r="CZ273">
        <f>SUM(AD273:AO273)</f>
        <v>3042.62</v>
      </c>
      <c r="DA273">
        <f>SUM(AP273:BA273)</f>
        <v>0</v>
      </c>
      <c r="DB273">
        <f>SUM(BB273:BM273)</f>
        <v>0</v>
      </c>
      <c r="DC273">
        <f>SUM(BN273:BY273)</f>
        <v>0</v>
      </c>
      <c r="DD273">
        <f>SUM(BZ273:CK273)</f>
        <v>0</v>
      </c>
      <c r="DE273">
        <f>SUM(CL273:CW273)</f>
        <v>0</v>
      </c>
      <c r="DF273">
        <f>SUM(F273:CW273)</f>
        <v>3042.62</v>
      </c>
    </row>
    <row r="274" spans="1:110"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c r="CX274">
        <f>SUM(F274:Q274)</f>
        <v>0</v>
      </c>
      <c r="CY274">
        <f>SUM(R274:AC274)</f>
        <v>0</v>
      </c>
      <c r="CZ274">
        <f>SUM(AD274:AO274)</f>
        <v>0</v>
      </c>
      <c r="DA274">
        <f>SUM(AP274:BA274)</f>
        <v>0</v>
      </c>
      <c r="DB274">
        <f>SUM(BB274:BM274)</f>
        <v>0</v>
      </c>
      <c r="DC274">
        <f>SUM(BN274:BY274)</f>
        <v>611.92999999999995</v>
      </c>
      <c r="DD274">
        <f>SUM(BZ274:CK274)</f>
        <v>2580.2199999999998</v>
      </c>
      <c r="DE274">
        <f>SUM(CL274:CW274)</f>
        <v>0</v>
      </c>
      <c r="DF274">
        <f>SUM(F274:CW274)</f>
        <v>3192.15</v>
      </c>
    </row>
    <row r="275" spans="1:110"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c r="CX275">
        <f>SUM(F275:Q275)</f>
        <v>0</v>
      </c>
      <c r="CY275">
        <f>SUM(R275:AC275)</f>
        <v>0</v>
      </c>
      <c r="CZ275">
        <f>SUM(AD275:AO275)</f>
        <v>0</v>
      </c>
      <c r="DA275">
        <f>SUM(AP275:BA275)</f>
        <v>0</v>
      </c>
      <c r="DB275">
        <f>SUM(BB275:BM275)</f>
        <v>0</v>
      </c>
      <c r="DC275">
        <f>SUM(BN275:BY275)</f>
        <v>0</v>
      </c>
      <c r="DD275">
        <f>SUM(BZ275:CK275)</f>
        <v>8120.74</v>
      </c>
      <c r="DE275">
        <f>SUM(CL275:CW275)</f>
        <v>3896.3199999999997</v>
      </c>
      <c r="DF275">
        <f>SUM(F275:CW275)</f>
        <v>12017.06</v>
      </c>
    </row>
    <row r="276" spans="1:110"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c r="CX276">
        <f>SUM(F276:Q276)</f>
        <v>0</v>
      </c>
      <c r="CY276">
        <f>SUM(R276:AC276)</f>
        <v>0</v>
      </c>
      <c r="CZ276">
        <f>SUM(AD276:AO276)</f>
        <v>2836.27</v>
      </c>
      <c r="DA276">
        <f>SUM(AP276:BA276)</f>
        <v>440.85</v>
      </c>
      <c r="DB276">
        <f>SUM(BB276:BM276)</f>
        <v>0</v>
      </c>
      <c r="DC276">
        <f>SUM(BN276:BY276)</f>
        <v>0</v>
      </c>
      <c r="DD276">
        <f>SUM(BZ276:CK276)</f>
        <v>0</v>
      </c>
      <c r="DE276">
        <f>SUM(CL276:CW276)</f>
        <v>0</v>
      </c>
      <c r="DF276">
        <f>SUM(F276:CW276)</f>
        <v>3277.12</v>
      </c>
    </row>
    <row r="277" spans="1:110"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c r="CX277">
        <f>SUM(F277:Q277)</f>
        <v>0</v>
      </c>
      <c r="CY277">
        <f>SUM(R277:AC277)</f>
        <v>0</v>
      </c>
      <c r="CZ277">
        <f>SUM(AD277:AO277)</f>
        <v>0</v>
      </c>
      <c r="DA277">
        <f>SUM(AP277:BA277)</f>
        <v>0</v>
      </c>
      <c r="DB277">
        <f>SUM(BB277:BM277)</f>
        <v>0</v>
      </c>
      <c r="DC277">
        <f>SUM(BN277:BY277)</f>
        <v>0</v>
      </c>
      <c r="DD277">
        <f>SUM(BZ277:CK277)</f>
        <v>4680.8900000000003</v>
      </c>
      <c r="DE277">
        <f>SUM(CL277:CW277)</f>
        <v>0</v>
      </c>
      <c r="DF277">
        <f>SUM(F277:CW277)</f>
        <v>4680.8900000000003</v>
      </c>
    </row>
    <row r="278" spans="1:110"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c r="CX278">
        <f>SUM(F278:Q278)</f>
        <v>0</v>
      </c>
      <c r="CY278">
        <f>SUM(R278:AC278)</f>
        <v>0</v>
      </c>
      <c r="CZ278">
        <f>SUM(AD278:AO278)</f>
        <v>0</v>
      </c>
      <c r="DA278">
        <f>SUM(AP278:BA278)</f>
        <v>0</v>
      </c>
      <c r="DB278">
        <f>SUM(BB278:BM278)</f>
        <v>0</v>
      </c>
      <c r="DC278">
        <f>SUM(BN278:BY278)</f>
        <v>2766.17</v>
      </c>
      <c r="DD278">
        <f>SUM(BZ278:CK278)</f>
        <v>856.56</v>
      </c>
      <c r="DE278">
        <f>SUM(CL278:CW278)</f>
        <v>0</v>
      </c>
      <c r="DF278">
        <f>SUM(F278:CW278)</f>
        <v>3622.73</v>
      </c>
    </row>
    <row r="279" spans="1:110"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c r="CX279">
        <f>SUM(F279:Q279)</f>
        <v>0</v>
      </c>
      <c r="CY279">
        <f>SUM(R279:AC279)</f>
        <v>0</v>
      </c>
      <c r="CZ279">
        <f>SUM(AD279:AO279)</f>
        <v>1671.94</v>
      </c>
      <c r="DA279">
        <f>SUM(AP279:BA279)</f>
        <v>1323.82</v>
      </c>
      <c r="DB279">
        <f>SUM(BB279:BM279)</f>
        <v>0</v>
      </c>
      <c r="DC279">
        <f>SUM(BN279:BY279)</f>
        <v>0</v>
      </c>
      <c r="DD279">
        <f>SUM(BZ279:CK279)</f>
        <v>0</v>
      </c>
      <c r="DE279">
        <f>SUM(CL279:CW279)</f>
        <v>0</v>
      </c>
      <c r="DF279">
        <f>SUM(F279:CW279)</f>
        <v>2995.76</v>
      </c>
    </row>
    <row r="280" spans="1:110"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c r="CX280">
        <f>SUM(F280:Q280)</f>
        <v>6715.31</v>
      </c>
      <c r="CY280">
        <f>SUM(R280:AC280)</f>
        <v>0</v>
      </c>
      <c r="CZ280">
        <f>SUM(AD280:AO280)</f>
        <v>0</v>
      </c>
      <c r="DA280">
        <f>SUM(AP280:BA280)</f>
        <v>0</v>
      </c>
      <c r="DB280">
        <f>SUM(BB280:BM280)</f>
        <v>0</v>
      </c>
      <c r="DC280">
        <f>SUM(BN280:BY280)</f>
        <v>0</v>
      </c>
      <c r="DD280">
        <f>SUM(BZ280:CK280)</f>
        <v>0</v>
      </c>
      <c r="DE280">
        <f>SUM(CL280:CW280)</f>
        <v>0</v>
      </c>
      <c r="DF280">
        <f>SUM(F280:CW280)</f>
        <v>6715.31</v>
      </c>
    </row>
    <row r="281" spans="1:110"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c r="CX281">
        <f>SUM(F281:Q281)</f>
        <v>0</v>
      </c>
      <c r="CY281">
        <f>SUM(R281:AC281)</f>
        <v>0</v>
      </c>
      <c r="CZ281">
        <f>SUM(AD281:AO281)</f>
        <v>14344.050000000001</v>
      </c>
      <c r="DA281">
        <f>SUM(AP281:BA281)</f>
        <v>26724.199999999997</v>
      </c>
      <c r="DB281">
        <f>SUM(BB281:BM281)</f>
        <v>13505.59</v>
      </c>
      <c r="DC281">
        <f>SUM(BN281:BY281)</f>
        <v>0</v>
      </c>
      <c r="DD281">
        <f>SUM(BZ281:CK281)</f>
        <v>0</v>
      </c>
      <c r="DE281">
        <f>SUM(CL281:CW281)</f>
        <v>0</v>
      </c>
      <c r="DF281">
        <f>SUM(F281:CW281)</f>
        <v>54573.840000000004</v>
      </c>
    </row>
    <row r="282" spans="1:110"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c r="CX282">
        <f>SUM(F282:Q282)</f>
        <v>0</v>
      </c>
      <c r="CY282">
        <f>SUM(R282:AC282)</f>
        <v>0</v>
      </c>
      <c r="CZ282">
        <f>SUM(AD282:AO282)</f>
        <v>0</v>
      </c>
      <c r="DA282">
        <f>SUM(AP282:BA282)</f>
        <v>0</v>
      </c>
      <c r="DB282">
        <f>SUM(BB282:BM282)</f>
        <v>0</v>
      </c>
      <c r="DC282">
        <f>SUM(BN282:BY282)</f>
        <v>2350.63</v>
      </c>
      <c r="DD282">
        <f>SUM(BZ282:CK282)</f>
        <v>2463.89</v>
      </c>
      <c r="DE282">
        <f>SUM(CL282:CW282)</f>
        <v>0</v>
      </c>
      <c r="DF282">
        <f>SUM(F282:CW282)</f>
        <v>4814.5200000000004</v>
      </c>
    </row>
    <row r="283" spans="1:110"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c r="CX283">
        <f>SUM(F283:Q283)</f>
        <v>0</v>
      </c>
      <c r="CY283">
        <f>SUM(R283:AC283)</f>
        <v>0</v>
      </c>
      <c r="CZ283">
        <f>SUM(AD283:AO283)</f>
        <v>0</v>
      </c>
      <c r="DA283">
        <f>SUM(AP283:BA283)</f>
        <v>0</v>
      </c>
      <c r="DB283">
        <f>SUM(BB283:BM283)</f>
        <v>18448.539999999997</v>
      </c>
      <c r="DC283">
        <f>SUM(BN283:BY283)</f>
        <v>10030.76</v>
      </c>
      <c r="DD283">
        <f>SUM(BZ283:CK283)</f>
        <v>0</v>
      </c>
      <c r="DE283">
        <f>SUM(CL283:CW283)</f>
        <v>0</v>
      </c>
      <c r="DF283">
        <f>SUM(F283:CW283)</f>
        <v>28479.3</v>
      </c>
    </row>
    <row r="284" spans="1:110"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c r="CX284">
        <f>SUM(F284:Q284)</f>
        <v>0</v>
      </c>
      <c r="CY284">
        <f>SUM(R284:AC284)</f>
        <v>0</v>
      </c>
      <c r="CZ284">
        <f>SUM(AD284:AO284)</f>
        <v>0</v>
      </c>
      <c r="DA284">
        <f>SUM(AP284:BA284)</f>
        <v>0</v>
      </c>
      <c r="DB284">
        <f>SUM(BB284:BM284)</f>
        <v>0</v>
      </c>
      <c r="DC284">
        <f>SUM(BN284:BY284)</f>
        <v>3631.42</v>
      </c>
      <c r="DD284">
        <f>SUM(BZ284:CK284)</f>
        <v>1965.42</v>
      </c>
      <c r="DE284">
        <f>SUM(CL284:CW284)</f>
        <v>0</v>
      </c>
      <c r="DF284">
        <f>SUM(F284:CW284)</f>
        <v>5596.84</v>
      </c>
    </row>
    <row r="285" spans="1:110"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c r="CX285">
        <f>SUM(F285:Q285)</f>
        <v>0</v>
      </c>
      <c r="CY285">
        <f>SUM(R285:AC285)</f>
        <v>0</v>
      </c>
      <c r="CZ285">
        <f>SUM(AD285:AO285)</f>
        <v>0</v>
      </c>
      <c r="DA285">
        <f>SUM(AP285:BA285)</f>
        <v>0</v>
      </c>
      <c r="DB285">
        <f>SUM(BB285:BM285)</f>
        <v>5731.86</v>
      </c>
      <c r="DC285">
        <f>SUM(BN285:BY285)</f>
        <v>0</v>
      </c>
      <c r="DD285">
        <f>SUM(BZ285:CK285)</f>
        <v>0</v>
      </c>
      <c r="DE285">
        <f>SUM(CL285:CW285)</f>
        <v>0</v>
      </c>
      <c r="DF285">
        <f>SUM(F285:CW285)</f>
        <v>5731.86</v>
      </c>
    </row>
    <row r="286" spans="1:110"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c r="CX286">
        <f>SUM(F286:Q286)</f>
        <v>0</v>
      </c>
      <c r="CY286">
        <f>SUM(R286:AC286)</f>
        <v>0</v>
      </c>
      <c r="CZ286">
        <f>SUM(AD286:AO286)</f>
        <v>3454.1899999999996</v>
      </c>
      <c r="DA286">
        <f>SUM(AP286:BA286)</f>
        <v>769.43</v>
      </c>
      <c r="DB286">
        <f>SUM(BB286:BM286)</f>
        <v>0</v>
      </c>
      <c r="DC286">
        <f>SUM(BN286:BY286)</f>
        <v>0</v>
      </c>
      <c r="DD286">
        <f>SUM(BZ286:CK286)</f>
        <v>0</v>
      </c>
      <c r="DE286">
        <f>SUM(CL286:CW286)</f>
        <v>0</v>
      </c>
      <c r="DF286">
        <f>SUM(F286:CW286)</f>
        <v>4223.62</v>
      </c>
    </row>
    <row r="287" spans="1:110"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c r="CX287">
        <f>SUM(F287:Q287)</f>
        <v>41363.980000000003</v>
      </c>
      <c r="CY287">
        <f>SUM(R287:AC287)</f>
        <v>0</v>
      </c>
      <c r="CZ287">
        <f>SUM(AD287:AO287)</f>
        <v>0</v>
      </c>
      <c r="DA287">
        <f>SUM(AP287:BA287)</f>
        <v>0</v>
      </c>
      <c r="DB287">
        <f>SUM(BB287:BM287)</f>
        <v>0</v>
      </c>
      <c r="DC287">
        <f>SUM(BN287:BY287)</f>
        <v>0</v>
      </c>
      <c r="DD287">
        <f>SUM(BZ287:CK287)</f>
        <v>0</v>
      </c>
      <c r="DE287">
        <f>SUM(CL287:CW287)</f>
        <v>0</v>
      </c>
      <c r="DF287">
        <f>SUM(F287:CW287)</f>
        <v>41363.980000000003</v>
      </c>
    </row>
    <row r="288" spans="1:110"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c r="CX288">
        <f>SUM(F288:Q288)</f>
        <v>0</v>
      </c>
      <c r="CY288">
        <f>SUM(R288:AC288)</f>
        <v>0</v>
      </c>
      <c r="CZ288">
        <f>SUM(AD288:AO288)</f>
        <v>0</v>
      </c>
      <c r="DA288">
        <f>SUM(AP288:BA288)</f>
        <v>0</v>
      </c>
      <c r="DB288">
        <f>SUM(BB288:BM288)</f>
        <v>687.18</v>
      </c>
      <c r="DC288">
        <f>SUM(BN288:BY288)</f>
        <v>3501.9500000000003</v>
      </c>
      <c r="DD288">
        <f>SUM(BZ288:CK288)</f>
        <v>0</v>
      </c>
      <c r="DE288">
        <f>SUM(CL288:CW288)</f>
        <v>0</v>
      </c>
      <c r="DF288">
        <f>SUM(F288:CW288)</f>
        <v>4189.13</v>
      </c>
    </row>
    <row r="289" spans="1:110"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c r="CX289">
        <f>SUM(F289:Q289)</f>
        <v>0</v>
      </c>
      <c r="CY289">
        <f>SUM(R289:AC289)</f>
        <v>0</v>
      </c>
      <c r="CZ289">
        <f>SUM(AD289:AO289)</f>
        <v>0</v>
      </c>
      <c r="DA289">
        <f>SUM(AP289:BA289)</f>
        <v>0</v>
      </c>
      <c r="DB289">
        <f>SUM(BB289:BM289)</f>
        <v>11022.75</v>
      </c>
      <c r="DC289">
        <f>SUM(BN289:BY289)</f>
        <v>0</v>
      </c>
      <c r="DD289">
        <f>SUM(BZ289:CK289)</f>
        <v>0</v>
      </c>
      <c r="DE289">
        <f>SUM(CL289:CW289)</f>
        <v>0</v>
      </c>
      <c r="DF289">
        <f>SUM(F289:CW289)</f>
        <v>11022.75</v>
      </c>
    </row>
    <row r="290" spans="1:110"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c r="CX290">
        <f>SUM(F290:Q290)</f>
        <v>0</v>
      </c>
      <c r="CY290">
        <f>SUM(R290:AC290)</f>
        <v>0</v>
      </c>
      <c r="CZ290">
        <f>SUM(AD290:AO290)</f>
        <v>0</v>
      </c>
      <c r="DA290">
        <f>SUM(AP290:BA290)</f>
        <v>0</v>
      </c>
      <c r="DB290">
        <f>SUM(BB290:BM290)</f>
        <v>0</v>
      </c>
      <c r="DC290">
        <f>SUM(BN290:BY290)</f>
        <v>0</v>
      </c>
      <c r="DD290">
        <f>SUM(BZ290:CK290)</f>
        <v>5262.49</v>
      </c>
      <c r="DE290">
        <f>SUM(CL290:CW290)</f>
        <v>0</v>
      </c>
      <c r="DF290">
        <f>SUM(F290:CW290)</f>
        <v>5262.49</v>
      </c>
    </row>
    <row r="291" spans="1:110"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c r="CX291">
        <f>SUM(F291:Q291)</f>
        <v>0</v>
      </c>
      <c r="CY291">
        <f>SUM(R291:AC291)</f>
        <v>0</v>
      </c>
      <c r="CZ291">
        <f>SUM(AD291:AO291)</f>
        <v>0</v>
      </c>
      <c r="DA291">
        <f>SUM(AP291:BA291)</f>
        <v>18464.34</v>
      </c>
      <c r="DB291">
        <f>SUM(BB291:BM291)</f>
        <v>4420.42</v>
      </c>
      <c r="DC291">
        <f>SUM(BN291:BY291)</f>
        <v>0</v>
      </c>
      <c r="DD291">
        <f>SUM(BZ291:CK291)</f>
        <v>0</v>
      </c>
      <c r="DE291">
        <f>SUM(CL291:CW291)</f>
        <v>0</v>
      </c>
      <c r="DF291">
        <f>SUM(F291:CW291)</f>
        <v>22884.760000000002</v>
      </c>
    </row>
    <row r="292" spans="1:110"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c r="CX292">
        <f>SUM(F292:Q292)</f>
        <v>0</v>
      </c>
      <c r="CY292">
        <f>SUM(R292:AC292)</f>
        <v>0</v>
      </c>
      <c r="CZ292">
        <f>SUM(AD292:AO292)</f>
        <v>0</v>
      </c>
      <c r="DA292">
        <f>SUM(AP292:BA292)</f>
        <v>0</v>
      </c>
      <c r="DB292">
        <f>SUM(BB292:BM292)</f>
        <v>0</v>
      </c>
      <c r="DC292">
        <f>SUM(BN292:BY292)</f>
        <v>0</v>
      </c>
      <c r="DD292">
        <f>SUM(BZ292:CK292)</f>
        <v>640.15000000000009</v>
      </c>
      <c r="DE292">
        <f>SUM(CL292:CW292)</f>
        <v>3676.6099999999997</v>
      </c>
      <c r="DF292">
        <f>SUM(F292:CW292)</f>
        <v>4316.76</v>
      </c>
    </row>
    <row r="293" spans="1:110"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c r="CX293">
        <f>SUM(F293:Q293)</f>
        <v>0</v>
      </c>
      <c r="CY293">
        <f>SUM(R293:AC293)</f>
        <v>0</v>
      </c>
      <c r="CZ293">
        <f>SUM(AD293:AO293)</f>
        <v>2596.4899999999998</v>
      </c>
      <c r="DA293">
        <f>SUM(AP293:BA293)</f>
        <v>159.66999999999999</v>
      </c>
      <c r="DB293">
        <f>SUM(BB293:BM293)</f>
        <v>0</v>
      </c>
      <c r="DC293">
        <f>SUM(BN293:BY293)</f>
        <v>0</v>
      </c>
      <c r="DD293">
        <f>SUM(BZ293:CK293)</f>
        <v>0</v>
      </c>
      <c r="DE293">
        <f>SUM(CL293:CW293)</f>
        <v>0</v>
      </c>
      <c r="DF293">
        <f>SUM(F293:CW293)</f>
        <v>2756.16</v>
      </c>
    </row>
    <row r="294" spans="1:110"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c r="CX294">
        <f>SUM(F294:Q294)</f>
        <v>0</v>
      </c>
      <c r="CY294">
        <f>SUM(R294:AC294)</f>
        <v>0</v>
      </c>
      <c r="CZ294">
        <f>SUM(AD294:AO294)</f>
        <v>0</v>
      </c>
      <c r="DA294">
        <f>SUM(AP294:BA294)</f>
        <v>0</v>
      </c>
      <c r="DB294">
        <f>SUM(BB294:BM294)</f>
        <v>0</v>
      </c>
      <c r="DC294">
        <f>SUM(BN294:BY294)</f>
        <v>0</v>
      </c>
      <c r="DD294">
        <f>SUM(BZ294:CK294)</f>
        <v>0</v>
      </c>
      <c r="DE294">
        <f>SUM(CL294:CW294)</f>
        <v>1247.0999999999999</v>
      </c>
      <c r="DF294">
        <f>SUM(F294:CW294)</f>
        <v>1247.0999999999999</v>
      </c>
    </row>
    <row r="295" spans="1:110"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c r="CX295">
        <f>SUM(F295:Q295)</f>
        <v>0</v>
      </c>
      <c r="CY295">
        <f>SUM(R295:AC295)</f>
        <v>2633.8399999999997</v>
      </c>
      <c r="CZ295">
        <f>SUM(AD295:AO295)</f>
        <v>2743.34</v>
      </c>
      <c r="DA295">
        <f>SUM(AP295:BA295)</f>
        <v>520.36</v>
      </c>
      <c r="DB295">
        <f>SUM(BB295:BM295)</f>
        <v>0</v>
      </c>
      <c r="DC295">
        <f>SUM(BN295:BY295)</f>
        <v>0</v>
      </c>
      <c r="DD295">
        <f>SUM(BZ295:CK295)</f>
        <v>0</v>
      </c>
      <c r="DE295">
        <f>SUM(CL295:CW295)</f>
        <v>0</v>
      </c>
      <c r="DF295">
        <f>SUM(F295:CW295)</f>
        <v>5897.5399999999991</v>
      </c>
    </row>
    <row r="296" spans="1:110"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c r="CX296">
        <f>SUM(F296:Q296)</f>
        <v>0</v>
      </c>
      <c r="CY296">
        <f>SUM(R296:AC296)</f>
        <v>0</v>
      </c>
      <c r="CZ296">
        <f>SUM(AD296:AO296)</f>
        <v>0</v>
      </c>
      <c r="DA296">
        <f>SUM(AP296:BA296)</f>
        <v>6021.19</v>
      </c>
      <c r="DB296">
        <f>SUM(BB296:BM296)</f>
        <v>0</v>
      </c>
      <c r="DC296">
        <f>SUM(BN296:BY296)</f>
        <v>0</v>
      </c>
      <c r="DD296">
        <f>SUM(BZ296:CK296)</f>
        <v>0</v>
      </c>
      <c r="DE296">
        <f>SUM(CL296:CW296)</f>
        <v>0</v>
      </c>
      <c r="DF296">
        <f>SUM(F296:CW296)</f>
        <v>6021.19</v>
      </c>
    </row>
    <row r="297" spans="1:110"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c r="CX297">
        <f>SUM(F297:Q297)</f>
        <v>3667.6</v>
      </c>
      <c r="CY297">
        <f>SUM(R297:AC297)</f>
        <v>0</v>
      </c>
      <c r="CZ297">
        <f>SUM(AD297:AO297)</f>
        <v>0</v>
      </c>
      <c r="DA297">
        <f>SUM(AP297:BA297)</f>
        <v>0</v>
      </c>
      <c r="DB297">
        <f>SUM(BB297:BM297)</f>
        <v>0</v>
      </c>
      <c r="DC297">
        <f>SUM(BN297:BY297)</f>
        <v>0</v>
      </c>
      <c r="DD297">
        <f>SUM(BZ297:CK297)</f>
        <v>0</v>
      </c>
      <c r="DE297">
        <f>SUM(CL297:CW297)</f>
        <v>0</v>
      </c>
      <c r="DF297">
        <f>SUM(F297:CW297)</f>
        <v>3667.6</v>
      </c>
    </row>
    <row r="298" spans="1:110"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c r="CX298">
        <f>SUM(F298:Q298)</f>
        <v>7372.43</v>
      </c>
      <c r="CY298">
        <f>SUM(R298:AC298)</f>
        <v>2635.26</v>
      </c>
      <c r="CZ298">
        <f>SUM(AD298:AO298)</f>
        <v>0</v>
      </c>
      <c r="DA298">
        <f>SUM(AP298:BA298)</f>
        <v>0</v>
      </c>
      <c r="DB298">
        <f>SUM(BB298:BM298)</f>
        <v>0</v>
      </c>
      <c r="DC298">
        <f>SUM(BN298:BY298)</f>
        <v>0</v>
      </c>
      <c r="DD298">
        <f>SUM(BZ298:CK298)</f>
        <v>0</v>
      </c>
      <c r="DE298">
        <f>SUM(CL298:CW298)</f>
        <v>0</v>
      </c>
      <c r="DF298">
        <f>SUM(F298:CW298)</f>
        <v>10007.69</v>
      </c>
    </row>
    <row r="299" spans="1:110"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c r="CX299">
        <f>SUM(F299:Q299)</f>
        <v>0</v>
      </c>
      <c r="CY299">
        <f>SUM(R299:AC299)</f>
        <v>0</v>
      </c>
      <c r="CZ299">
        <f>SUM(AD299:AO299)</f>
        <v>0</v>
      </c>
      <c r="DA299">
        <f>SUM(AP299:BA299)</f>
        <v>0</v>
      </c>
      <c r="DB299">
        <f>SUM(BB299:BM299)</f>
        <v>0</v>
      </c>
      <c r="DC299">
        <f>SUM(BN299:BY299)</f>
        <v>0</v>
      </c>
      <c r="DD299">
        <f>SUM(BZ299:CK299)</f>
        <v>1140.07</v>
      </c>
      <c r="DE299">
        <f>SUM(CL299:CW299)</f>
        <v>0</v>
      </c>
      <c r="DF299">
        <f>SUM(F299:CW299)</f>
        <v>1140.07</v>
      </c>
    </row>
    <row r="300" spans="1:110"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c r="CX300">
        <f>SUM(F300:Q300)</f>
        <v>0</v>
      </c>
      <c r="CY300">
        <f>SUM(R300:AC300)</f>
        <v>0</v>
      </c>
      <c r="CZ300">
        <f>SUM(AD300:AO300)</f>
        <v>0</v>
      </c>
      <c r="DA300">
        <f>SUM(AP300:BA300)</f>
        <v>0</v>
      </c>
      <c r="DB300">
        <f>SUM(BB300:BM300)</f>
        <v>0</v>
      </c>
      <c r="DC300">
        <f>SUM(BN300:BY300)</f>
        <v>0</v>
      </c>
      <c r="DD300">
        <f>SUM(BZ300:CK300)</f>
        <v>9771</v>
      </c>
      <c r="DE300">
        <f>SUM(CL300:CW300)</f>
        <v>0</v>
      </c>
      <c r="DF300">
        <f>SUM(F300:CW300)</f>
        <v>9771</v>
      </c>
    </row>
    <row r="301" spans="1:110"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c r="CX301">
        <f>SUM(F301:Q301)</f>
        <v>4935.8600000000006</v>
      </c>
      <c r="CY301">
        <f>SUM(R301:AC301)</f>
        <v>3327.92</v>
      </c>
      <c r="CZ301">
        <f>SUM(AD301:AO301)</f>
        <v>0</v>
      </c>
      <c r="DA301">
        <f>SUM(AP301:BA301)</f>
        <v>0</v>
      </c>
      <c r="DB301">
        <f>SUM(BB301:BM301)</f>
        <v>0</v>
      </c>
      <c r="DC301">
        <f>SUM(BN301:BY301)</f>
        <v>0</v>
      </c>
      <c r="DD301">
        <f>SUM(BZ301:CK301)</f>
        <v>0</v>
      </c>
      <c r="DE301">
        <f>SUM(CL301:CW301)</f>
        <v>0</v>
      </c>
      <c r="DF301">
        <f>SUM(F301:CW301)</f>
        <v>8263.7800000000007</v>
      </c>
    </row>
    <row r="302" spans="1:110"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c r="CX302">
        <f>SUM(F302:Q302)</f>
        <v>0</v>
      </c>
      <c r="CY302">
        <f>SUM(R302:AC302)</f>
        <v>0</v>
      </c>
      <c r="CZ302">
        <f>SUM(AD302:AO302)</f>
        <v>0</v>
      </c>
      <c r="DA302">
        <f>SUM(AP302:BA302)</f>
        <v>0</v>
      </c>
      <c r="DB302">
        <f>SUM(BB302:BM302)</f>
        <v>0</v>
      </c>
      <c r="DC302">
        <f>SUM(BN302:BY302)</f>
        <v>7898.33</v>
      </c>
      <c r="DD302">
        <f>SUM(BZ302:CK302)</f>
        <v>0</v>
      </c>
      <c r="DE302">
        <f>SUM(CL302:CW302)</f>
        <v>0</v>
      </c>
      <c r="DF302">
        <f>SUM(F302:CW302)</f>
        <v>7898.33</v>
      </c>
    </row>
    <row r="303" spans="1:110"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c r="CX303">
        <f>SUM(F303:Q303)</f>
        <v>0</v>
      </c>
      <c r="CY303">
        <f>SUM(R303:AC303)</f>
        <v>0</v>
      </c>
      <c r="CZ303">
        <f>SUM(AD303:AO303)</f>
        <v>0</v>
      </c>
      <c r="DA303">
        <f>SUM(AP303:BA303)</f>
        <v>0</v>
      </c>
      <c r="DB303">
        <f>SUM(BB303:BM303)</f>
        <v>0</v>
      </c>
      <c r="DC303">
        <f>SUM(BN303:BY303)</f>
        <v>0</v>
      </c>
      <c r="DD303">
        <f>SUM(BZ303:CK303)</f>
        <v>11713.94</v>
      </c>
      <c r="DE303">
        <f>SUM(CL303:CW303)</f>
        <v>0</v>
      </c>
      <c r="DF303">
        <f>SUM(F303:CW303)</f>
        <v>11713.94</v>
      </c>
    </row>
    <row r="304" spans="1:110"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c r="CX304">
        <f>SUM(F304:Q304)</f>
        <v>0</v>
      </c>
      <c r="CY304">
        <f>SUM(R304:AC304)</f>
        <v>0</v>
      </c>
      <c r="CZ304">
        <f>SUM(AD304:AO304)</f>
        <v>0</v>
      </c>
      <c r="DA304">
        <f>SUM(AP304:BA304)</f>
        <v>1984.3600000000001</v>
      </c>
      <c r="DB304">
        <f>SUM(BB304:BM304)</f>
        <v>820.86</v>
      </c>
      <c r="DC304">
        <f>SUM(BN304:BY304)</f>
        <v>0</v>
      </c>
      <c r="DD304">
        <f>SUM(BZ304:CK304)</f>
        <v>0</v>
      </c>
      <c r="DE304">
        <f>SUM(CL304:CW304)</f>
        <v>0</v>
      </c>
      <c r="DF304">
        <f>SUM(F304:CW304)</f>
        <v>2805.2200000000003</v>
      </c>
    </row>
    <row r="305" spans="1:110"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c r="CX305">
        <f>SUM(F305:Q305)</f>
        <v>0</v>
      </c>
      <c r="CY305">
        <f>SUM(R305:AC305)</f>
        <v>0</v>
      </c>
      <c r="CZ305">
        <f>SUM(AD305:AO305)</f>
        <v>0</v>
      </c>
      <c r="DA305">
        <f>SUM(AP305:BA305)</f>
        <v>0</v>
      </c>
      <c r="DB305">
        <f>SUM(BB305:BM305)</f>
        <v>0</v>
      </c>
      <c r="DC305">
        <f>SUM(BN305:BY305)</f>
        <v>0</v>
      </c>
      <c r="DD305">
        <f>SUM(BZ305:CK305)</f>
        <v>0</v>
      </c>
      <c r="DE305">
        <f>SUM(CL305:CW305)</f>
        <v>519.82000000000005</v>
      </c>
      <c r="DF305">
        <f>SUM(F305:CW305)</f>
        <v>519.82000000000005</v>
      </c>
    </row>
    <row r="306" spans="1:110"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c r="CX306">
        <f>SUM(F306:Q306)</f>
        <v>0</v>
      </c>
      <c r="CY306">
        <f>SUM(R306:AC306)</f>
        <v>0</v>
      </c>
      <c r="CZ306">
        <f>SUM(AD306:AO306)</f>
        <v>0</v>
      </c>
      <c r="DA306">
        <f>SUM(AP306:BA306)</f>
        <v>0</v>
      </c>
      <c r="DB306">
        <f>SUM(BB306:BM306)</f>
        <v>0</v>
      </c>
      <c r="DC306">
        <f>SUM(BN306:BY306)</f>
        <v>0</v>
      </c>
      <c r="DD306">
        <f>SUM(BZ306:CK306)</f>
        <v>7179.0499999999993</v>
      </c>
      <c r="DE306">
        <f>SUM(CL306:CW306)</f>
        <v>0</v>
      </c>
      <c r="DF306">
        <f>SUM(F306:CW306)</f>
        <v>7179.0499999999993</v>
      </c>
    </row>
    <row r="307" spans="1:110"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c r="CX307">
        <f>SUM(F307:Q307)</f>
        <v>0</v>
      </c>
      <c r="CY307">
        <f>SUM(R307:AC307)</f>
        <v>0</v>
      </c>
      <c r="CZ307">
        <f>SUM(AD307:AO307)</f>
        <v>0</v>
      </c>
      <c r="DA307">
        <f>SUM(AP307:BA307)</f>
        <v>1421.8899999999999</v>
      </c>
      <c r="DB307">
        <f>SUM(BB307:BM307)</f>
        <v>1823.09</v>
      </c>
      <c r="DC307">
        <f>SUM(BN307:BY307)</f>
        <v>0</v>
      </c>
      <c r="DD307">
        <f>SUM(BZ307:CK307)</f>
        <v>0</v>
      </c>
      <c r="DE307">
        <f>SUM(CL307:CW307)</f>
        <v>0</v>
      </c>
      <c r="DF307">
        <f>SUM(F307:CW307)</f>
        <v>3244.9799999999996</v>
      </c>
    </row>
    <row r="308" spans="1:110"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c r="CX308">
        <f>SUM(F308:Q308)</f>
        <v>0</v>
      </c>
      <c r="CY308">
        <f>SUM(R308:AC308)</f>
        <v>0</v>
      </c>
      <c r="CZ308">
        <f>SUM(AD308:AO308)</f>
        <v>0</v>
      </c>
      <c r="DA308">
        <f>SUM(AP308:BA308)</f>
        <v>0</v>
      </c>
      <c r="DB308">
        <f>SUM(BB308:BM308)</f>
        <v>0</v>
      </c>
      <c r="DC308">
        <f>SUM(BN308:BY308)</f>
        <v>0</v>
      </c>
      <c r="DD308">
        <f>SUM(BZ308:CK308)</f>
        <v>0</v>
      </c>
      <c r="DE308">
        <f>SUM(CL308:CW308)</f>
        <v>6248.32</v>
      </c>
      <c r="DF308">
        <f>SUM(F308:CW308)</f>
        <v>6248.32</v>
      </c>
    </row>
    <row r="309" spans="1:110"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c r="CX309">
        <f>SUM(F309:Q309)</f>
        <v>0</v>
      </c>
      <c r="CY309">
        <f>SUM(R309:AC309)</f>
        <v>0</v>
      </c>
      <c r="CZ309">
        <f>SUM(AD309:AO309)</f>
        <v>0</v>
      </c>
      <c r="DA309">
        <f>SUM(AP309:BA309)</f>
        <v>0</v>
      </c>
      <c r="DB309">
        <f>SUM(BB309:BM309)</f>
        <v>0</v>
      </c>
      <c r="DC309">
        <f>SUM(BN309:BY309)</f>
        <v>0</v>
      </c>
      <c r="DD309">
        <f>SUM(BZ309:CK309)</f>
        <v>0</v>
      </c>
      <c r="DE309">
        <f>SUM(CL309:CW309)</f>
        <v>5010.05</v>
      </c>
      <c r="DF309">
        <f>SUM(F309:CW309)</f>
        <v>5010.05</v>
      </c>
    </row>
    <row r="310" spans="1:110"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c r="CX310">
        <f>SUM(F310:Q310)</f>
        <v>0</v>
      </c>
      <c r="CY310">
        <f>SUM(R310:AC310)</f>
        <v>0</v>
      </c>
      <c r="CZ310">
        <f>SUM(AD310:AO310)</f>
        <v>0</v>
      </c>
      <c r="DA310">
        <f>SUM(AP310:BA310)</f>
        <v>0</v>
      </c>
      <c r="DB310">
        <f>SUM(BB310:BM310)</f>
        <v>0</v>
      </c>
      <c r="DC310">
        <f>SUM(BN310:BY310)</f>
        <v>6356.26</v>
      </c>
      <c r="DD310">
        <f>SUM(BZ310:CK310)</f>
        <v>0</v>
      </c>
      <c r="DE310">
        <f>SUM(CL310:CW310)</f>
        <v>0</v>
      </c>
      <c r="DF310">
        <f>SUM(F310:CW310)</f>
        <v>6356.26</v>
      </c>
    </row>
    <row r="311" spans="1:110"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c r="CX311">
        <f>SUM(F311:Q311)</f>
        <v>0</v>
      </c>
      <c r="CY311">
        <f>SUM(R311:AC311)</f>
        <v>0</v>
      </c>
      <c r="CZ311">
        <f>SUM(AD311:AO311)</f>
        <v>0</v>
      </c>
      <c r="DA311">
        <f>SUM(AP311:BA311)</f>
        <v>0</v>
      </c>
      <c r="DB311">
        <f>SUM(BB311:BM311)</f>
        <v>0</v>
      </c>
      <c r="DC311">
        <f>SUM(BN311:BY311)</f>
        <v>46672.2</v>
      </c>
      <c r="DD311">
        <f>SUM(BZ311:CK311)</f>
        <v>268900.63</v>
      </c>
      <c r="DE311">
        <f>SUM(CL311:CW311)</f>
        <v>0</v>
      </c>
      <c r="DF311">
        <f>SUM(F311:CW311)</f>
        <v>315572.82999999996</v>
      </c>
    </row>
    <row r="312" spans="1:110"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c r="CX312">
        <f>SUM(F312:Q312)</f>
        <v>0</v>
      </c>
      <c r="CY312">
        <f>SUM(R312:AC312)</f>
        <v>0</v>
      </c>
      <c r="CZ312">
        <f>SUM(AD312:AO312)</f>
        <v>0</v>
      </c>
      <c r="DA312">
        <f>SUM(AP312:BA312)</f>
        <v>0</v>
      </c>
      <c r="DB312">
        <f>SUM(BB312:BM312)</f>
        <v>0</v>
      </c>
      <c r="DC312">
        <f>SUM(BN312:BY312)</f>
        <v>0</v>
      </c>
      <c r="DD312">
        <f>SUM(BZ312:CK312)</f>
        <v>0</v>
      </c>
      <c r="DE312">
        <f>SUM(CL312:CW312)</f>
        <v>5897.55</v>
      </c>
      <c r="DF312">
        <f>SUM(F312:CW312)</f>
        <v>5897.55</v>
      </c>
    </row>
    <row r="313" spans="1:110"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c r="CX313">
        <f>SUM(F313:Q313)</f>
        <v>0</v>
      </c>
      <c r="CY313">
        <f>SUM(R313:AC313)</f>
        <v>0</v>
      </c>
      <c r="CZ313">
        <f>SUM(AD313:AO313)</f>
        <v>0</v>
      </c>
      <c r="DA313">
        <f>SUM(AP313:BA313)</f>
        <v>0</v>
      </c>
      <c r="DB313">
        <f>SUM(BB313:BM313)</f>
        <v>6467.7099999999991</v>
      </c>
      <c r="DC313">
        <f>SUM(BN313:BY313)</f>
        <v>4027.2900000000004</v>
      </c>
      <c r="DD313">
        <f>SUM(BZ313:CK313)</f>
        <v>0</v>
      </c>
      <c r="DE313">
        <f>SUM(CL313:CW313)</f>
        <v>0</v>
      </c>
      <c r="DF313">
        <f>SUM(F313:CW313)</f>
        <v>10495</v>
      </c>
    </row>
    <row r="314" spans="1:110"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c r="CX314">
        <f>SUM(F314:Q314)</f>
        <v>0</v>
      </c>
      <c r="CY314">
        <f>SUM(R314:AC314)</f>
        <v>0</v>
      </c>
      <c r="CZ314">
        <f>SUM(AD314:AO314)</f>
        <v>0</v>
      </c>
      <c r="DA314">
        <f>SUM(AP314:BA314)</f>
        <v>1828.27</v>
      </c>
      <c r="DB314">
        <f>SUM(BB314:BM314)</f>
        <v>0</v>
      </c>
      <c r="DC314">
        <f>SUM(BN314:BY314)</f>
        <v>0</v>
      </c>
      <c r="DD314">
        <f>SUM(BZ314:CK314)</f>
        <v>0</v>
      </c>
      <c r="DE314">
        <f>SUM(CL314:CW314)</f>
        <v>0</v>
      </c>
      <c r="DF314">
        <f>SUM(F314:CW314)</f>
        <v>1828.27</v>
      </c>
    </row>
    <row r="315" spans="1:110"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c r="CX315">
        <f>SUM(F315:Q315)</f>
        <v>0</v>
      </c>
      <c r="CY315">
        <f>SUM(R315:AC315)</f>
        <v>0</v>
      </c>
      <c r="CZ315">
        <f>SUM(AD315:AO315)</f>
        <v>3663.95</v>
      </c>
      <c r="DA315">
        <f>SUM(AP315:BA315)</f>
        <v>0</v>
      </c>
      <c r="DB315">
        <f>SUM(BB315:BM315)</f>
        <v>0</v>
      </c>
      <c r="DC315">
        <f>SUM(BN315:BY315)</f>
        <v>0</v>
      </c>
      <c r="DD315">
        <f>SUM(BZ315:CK315)</f>
        <v>0</v>
      </c>
      <c r="DE315">
        <f>SUM(CL315:CW315)</f>
        <v>0</v>
      </c>
      <c r="DF315">
        <f>SUM(F315:CW315)</f>
        <v>3663.95</v>
      </c>
    </row>
    <row r="316" spans="1:110"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c r="CX316">
        <f>SUM(F316:Q316)</f>
        <v>0</v>
      </c>
      <c r="CY316">
        <f>SUM(R316:AC316)</f>
        <v>0</v>
      </c>
      <c r="CZ316">
        <f>SUM(AD316:AO316)</f>
        <v>0</v>
      </c>
      <c r="DA316">
        <f>SUM(AP316:BA316)</f>
        <v>0</v>
      </c>
      <c r="DB316">
        <f>SUM(BB316:BM316)</f>
        <v>0</v>
      </c>
      <c r="DC316">
        <f>SUM(BN316:BY316)</f>
        <v>681.2</v>
      </c>
      <c r="DD316">
        <f>SUM(BZ316:CK316)</f>
        <v>2438.38</v>
      </c>
      <c r="DE316">
        <f>SUM(CL316:CW316)</f>
        <v>1171.02</v>
      </c>
      <c r="DF316">
        <f>SUM(F316:CW316)</f>
        <v>4290.6000000000004</v>
      </c>
    </row>
    <row r="317" spans="1:110"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c r="CX317">
        <f>SUM(F317:Q317)</f>
        <v>0</v>
      </c>
      <c r="CY317">
        <f>SUM(R317:AC317)</f>
        <v>0</v>
      </c>
      <c r="CZ317">
        <f>SUM(AD317:AO317)</f>
        <v>0</v>
      </c>
      <c r="DA317">
        <f>SUM(AP317:BA317)</f>
        <v>0</v>
      </c>
      <c r="DB317">
        <f>SUM(BB317:BM317)</f>
        <v>0</v>
      </c>
      <c r="DC317">
        <f>SUM(BN317:BY317)</f>
        <v>0</v>
      </c>
      <c r="DD317">
        <f>SUM(BZ317:CK317)</f>
        <v>13691.460000000001</v>
      </c>
      <c r="DE317">
        <f>SUM(CL317:CW317)</f>
        <v>8558.8599999999988</v>
      </c>
      <c r="DF317">
        <f>SUM(F317:CW317)</f>
        <v>22250.32</v>
      </c>
    </row>
    <row r="318" spans="1:110"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c r="CX318">
        <f>SUM(F318:Q318)</f>
        <v>0</v>
      </c>
      <c r="CY318">
        <f>SUM(R318:AC318)</f>
        <v>0</v>
      </c>
      <c r="CZ318">
        <f>SUM(AD318:AO318)</f>
        <v>0</v>
      </c>
      <c r="DA318">
        <f>SUM(AP318:BA318)</f>
        <v>0</v>
      </c>
      <c r="DB318">
        <f>SUM(BB318:BM318)</f>
        <v>3208.93</v>
      </c>
      <c r="DC318">
        <f>SUM(BN318:BY318)</f>
        <v>0</v>
      </c>
      <c r="DD318">
        <f>SUM(BZ318:CK318)</f>
        <v>0</v>
      </c>
      <c r="DE318">
        <f>SUM(CL318:CW318)</f>
        <v>0</v>
      </c>
      <c r="DF318">
        <f>SUM(F318:CW318)</f>
        <v>3208.93</v>
      </c>
    </row>
    <row r="319" spans="1:110"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c r="CX319">
        <f>SUM(F319:Q319)</f>
        <v>0</v>
      </c>
      <c r="CY319">
        <f>SUM(R319:AC319)</f>
        <v>0</v>
      </c>
      <c r="CZ319">
        <f>SUM(AD319:AO319)</f>
        <v>0</v>
      </c>
      <c r="DA319">
        <f>SUM(AP319:BA319)</f>
        <v>0</v>
      </c>
      <c r="DB319">
        <f>SUM(BB319:BM319)</f>
        <v>0</v>
      </c>
      <c r="DC319">
        <f>SUM(BN319:BY319)</f>
        <v>4976.92</v>
      </c>
      <c r="DD319">
        <f>SUM(BZ319:CK319)</f>
        <v>7533.31</v>
      </c>
      <c r="DE319">
        <f>SUM(CL319:CW319)</f>
        <v>0</v>
      </c>
      <c r="DF319">
        <f>SUM(F319:CW319)</f>
        <v>12510.23</v>
      </c>
    </row>
    <row r="320" spans="1:110"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c r="CX320">
        <f>SUM(F320:Q320)</f>
        <v>0</v>
      </c>
      <c r="CY320">
        <f>SUM(R320:AC320)</f>
        <v>0</v>
      </c>
      <c r="CZ320">
        <f>SUM(AD320:AO320)</f>
        <v>0</v>
      </c>
      <c r="DA320">
        <f>SUM(AP320:BA320)</f>
        <v>0</v>
      </c>
      <c r="DB320">
        <f>SUM(BB320:BM320)</f>
        <v>2224.21</v>
      </c>
      <c r="DC320">
        <f>SUM(BN320:BY320)</f>
        <v>198.48</v>
      </c>
      <c r="DD320">
        <f>SUM(BZ320:CK320)</f>
        <v>0</v>
      </c>
      <c r="DE320">
        <f>SUM(CL320:CW320)</f>
        <v>0</v>
      </c>
      <c r="DF320">
        <f>SUM(F320:CW320)</f>
        <v>2422.69</v>
      </c>
    </row>
    <row r="321" spans="1:110"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c r="CX321">
        <f>SUM(F321:Q321)</f>
        <v>0</v>
      </c>
      <c r="CY321">
        <f>SUM(R321:AC321)</f>
        <v>0</v>
      </c>
      <c r="CZ321">
        <f>SUM(AD321:AO321)</f>
        <v>11872.55</v>
      </c>
      <c r="DA321">
        <f>SUM(AP321:BA321)</f>
        <v>0</v>
      </c>
      <c r="DB321">
        <f>SUM(BB321:BM321)</f>
        <v>0</v>
      </c>
      <c r="DC321">
        <f>SUM(BN321:BY321)</f>
        <v>0</v>
      </c>
      <c r="DD321">
        <f>SUM(BZ321:CK321)</f>
        <v>0</v>
      </c>
      <c r="DE321">
        <f>SUM(CL321:CW321)</f>
        <v>0</v>
      </c>
      <c r="DF321">
        <f>SUM(F321:CW321)</f>
        <v>11872.55</v>
      </c>
    </row>
    <row r="322" spans="1:110"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c r="CX322">
        <f>SUM(F322:Q322)</f>
        <v>0</v>
      </c>
      <c r="CY322">
        <f>SUM(R322:AC322)</f>
        <v>0</v>
      </c>
      <c r="CZ322">
        <f>SUM(AD322:AO322)</f>
        <v>0</v>
      </c>
      <c r="DA322">
        <f>SUM(AP322:BA322)</f>
        <v>0</v>
      </c>
      <c r="DB322">
        <f>SUM(BB322:BM322)</f>
        <v>0</v>
      </c>
      <c r="DC322">
        <f>SUM(BN322:BY322)</f>
        <v>5808.01</v>
      </c>
      <c r="DD322">
        <f>SUM(BZ322:CK322)</f>
        <v>0</v>
      </c>
      <c r="DE322">
        <f>SUM(CL322:CW322)</f>
        <v>0</v>
      </c>
      <c r="DF322">
        <f>SUM(F322:CW322)</f>
        <v>5808.01</v>
      </c>
    </row>
    <row r="323" spans="1:110"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c r="CX323">
        <f>SUM(F323:Q323)</f>
        <v>0</v>
      </c>
      <c r="CY323">
        <f>SUM(R323:AC323)</f>
        <v>0</v>
      </c>
      <c r="CZ323">
        <f>SUM(AD323:AO323)</f>
        <v>0</v>
      </c>
      <c r="DA323">
        <f>SUM(AP323:BA323)</f>
        <v>0</v>
      </c>
      <c r="DB323">
        <f>SUM(BB323:BM323)</f>
        <v>14079.32</v>
      </c>
      <c r="DC323">
        <f>SUM(BN323:BY323)</f>
        <v>27536.080000000002</v>
      </c>
      <c r="DD323">
        <f>SUM(BZ323:CK323)</f>
        <v>10139.33</v>
      </c>
      <c r="DE323">
        <f>SUM(CL323:CW323)</f>
        <v>0</v>
      </c>
      <c r="DF323">
        <f>SUM(F323:CW323)</f>
        <v>51754.729999999996</v>
      </c>
    </row>
    <row r="324" spans="1:110"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c r="CX324">
        <f>SUM(F324:Q324)</f>
        <v>0</v>
      </c>
      <c r="CY324">
        <f>SUM(R324:AC324)</f>
        <v>0</v>
      </c>
      <c r="CZ324">
        <f>SUM(AD324:AO324)</f>
        <v>0</v>
      </c>
      <c r="DA324">
        <f>SUM(AP324:BA324)</f>
        <v>0</v>
      </c>
      <c r="DB324">
        <f>SUM(BB324:BM324)</f>
        <v>0</v>
      </c>
      <c r="DC324">
        <f>SUM(BN324:BY324)</f>
        <v>0</v>
      </c>
      <c r="DD324">
        <f>SUM(BZ324:CK324)</f>
        <v>7840.2000000000007</v>
      </c>
      <c r="DE324">
        <f>SUM(CL324:CW324)</f>
        <v>302.92</v>
      </c>
      <c r="DF324">
        <f>SUM(F324:CW324)</f>
        <v>8143.1200000000008</v>
      </c>
    </row>
    <row r="325" spans="1:110"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c r="CX325">
        <f>SUM(F325:Q325)</f>
        <v>0</v>
      </c>
      <c r="CY325">
        <f>SUM(R325:AC325)</f>
        <v>0</v>
      </c>
      <c r="CZ325">
        <f>SUM(AD325:AO325)</f>
        <v>0</v>
      </c>
      <c r="DA325">
        <f>SUM(AP325:BA325)</f>
        <v>0</v>
      </c>
      <c r="DB325">
        <f>SUM(BB325:BM325)</f>
        <v>0</v>
      </c>
      <c r="DC325">
        <f>SUM(BN325:BY325)</f>
        <v>0</v>
      </c>
      <c r="DD325">
        <f>SUM(BZ325:CK325)</f>
        <v>8314.7999999999993</v>
      </c>
      <c r="DE325">
        <f>SUM(CL325:CW325)</f>
        <v>0</v>
      </c>
      <c r="DF325">
        <f>SUM(F325:CW325)</f>
        <v>8314.7999999999993</v>
      </c>
    </row>
    <row r="326" spans="1:110"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c r="CX326">
        <f>SUM(F326:Q326)</f>
        <v>4564.37</v>
      </c>
      <c r="CY326">
        <f>SUM(R326:AC326)</f>
        <v>0</v>
      </c>
      <c r="CZ326">
        <f>SUM(AD326:AO326)</f>
        <v>0</v>
      </c>
      <c r="DA326">
        <f>SUM(AP326:BA326)</f>
        <v>0</v>
      </c>
      <c r="DB326">
        <f>SUM(BB326:BM326)</f>
        <v>0</v>
      </c>
      <c r="DC326">
        <f>SUM(BN326:BY326)</f>
        <v>0</v>
      </c>
      <c r="DD326">
        <f>SUM(BZ326:CK326)</f>
        <v>0</v>
      </c>
      <c r="DE326">
        <f>SUM(CL326:CW326)</f>
        <v>0</v>
      </c>
      <c r="DF326">
        <f>SUM(F326:CW326)</f>
        <v>4564.37</v>
      </c>
    </row>
    <row r="327" spans="1:110"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c r="CX327">
        <f>SUM(F327:Q327)</f>
        <v>0</v>
      </c>
      <c r="CY327">
        <f>SUM(R327:AC327)</f>
        <v>0</v>
      </c>
      <c r="CZ327">
        <f>SUM(AD327:AO327)</f>
        <v>0</v>
      </c>
      <c r="DA327">
        <f>SUM(AP327:BA327)</f>
        <v>0</v>
      </c>
      <c r="DB327">
        <f>SUM(BB327:BM327)</f>
        <v>0</v>
      </c>
      <c r="DC327">
        <f>SUM(BN327:BY327)</f>
        <v>0</v>
      </c>
      <c r="DD327">
        <f>SUM(BZ327:CK327)</f>
        <v>4501.68</v>
      </c>
      <c r="DE327">
        <f>SUM(CL327:CW327)</f>
        <v>0</v>
      </c>
      <c r="DF327">
        <f>SUM(F327:CW327)</f>
        <v>4501.68</v>
      </c>
    </row>
    <row r="328" spans="1:110"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c r="CX328">
        <f>SUM(F328:Q328)</f>
        <v>5809.61</v>
      </c>
      <c r="CY328">
        <f>SUM(R328:AC328)</f>
        <v>1028.51</v>
      </c>
      <c r="CZ328">
        <f>SUM(AD328:AO328)</f>
        <v>0</v>
      </c>
      <c r="DA328">
        <f>SUM(AP328:BA328)</f>
        <v>0</v>
      </c>
      <c r="DB328">
        <f>SUM(BB328:BM328)</f>
        <v>0</v>
      </c>
      <c r="DC328">
        <f>SUM(BN328:BY328)</f>
        <v>0</v>
      </c>
      <c r="DD328">
        <f>SUM(BZ328:CK328)</f>
        <v>0</v>
      </c>
      <c r="DE328">
        <f>SUM(CL328:CW328)</f>
        <v>0</v>
      </c>
      <c r="DF328">
        <f>SUM(F328:CW328)</f>
        <v>6838.12</v>
      </c>
    </row>
    <row r="329" spans="1:110"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c r="CX329">
        <f>SUM(F329:Q329)</f>
        <v>0</v>
      </c>
      <c r="CY329">
        <f>SUM(R329:AC329)</f>
        <v>0</v>
      </c>
      <c r="CZ329">
        <f>SUM(AD329:AO329)</f>
        <v>0</v>
      </c>
      <c r="DA329">
        <f>SUM(AP329:BA329)</f>
        <v>0</v>
      </c>
      <c r="DB329">
        <f>SUM(BB329:BM329)</f>
        <v>0</v>
      </c>
      <c r="DC329">
        <f>SUM(BN329:BY329)</f>
        <v>0</v>
      </c>
      <c r="DD329">
        <f>SUM(BZ329:CK329)</f>
        <v>12793.669999999998</v>
      </c>
      <c r="DE329">
        <f>SUM(CL329:CW329)</f>
        <v>0</v>
      </c>
      <c r="DF329">
        <f>SUM(F329:CW329)</f>
        <v>12793.669999999998</v>
      </c>
    </row>
    <row r="330" spans="1:110"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c r="CX330">
        <f>SUM(F330:Q330)</f>
        <v>0</v>
      </c>
      <c r="CY330">
        <f>SUM(R330:AC330)</f>
        <v>0</v>
      </c>
      <c r="CZ330">
        <f>SUM(AD330:AO330)</f>
        <v>0</v>
      </c>
      <c r="DA330">
        <f>SUM(AP330:BA330)</f>
        <v>0</v>
      </c>
      <c r="DB330">
        <f>SUM(BB330:BM330)</f>
        <v>0</v>
      </c>
      <c r="DC330">
        <f>SUM(BN330:BY330)</f>
        <v>0</v>
      </c>
      <c r="DD330">
        <f>SUM(BZ330:CK330)</f>
        <v>2822.44</v>
      </c>
      <c r="DE330">
        <f>SUM(CL330:CW330)</f>
        <v>0</v>
      </c>
      <c r="DF330">
        <f>SUM(F330:CW330)</f>
        <v>2822.44</v>
      </c>
    </row>
    <row r="331" spans="1:110"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c r="CX331">
        <f>SUM(F331:Q331)</f>
        <v>0</v>
      </c>
      <c r="CY331">
        <f>SUM(R331:AC331)</f>
        <v>0</v>
      </c>
      <c r="CZ331">
        <f>SUM(AD331:AO331)</f>
        <v>0</v>
      </c>
      <c r="DA331">
        <f>SUM(AP331:BA331)</f>
        <v>0</v>
      </c>
      <c r="DB331">
        <f>SUM(BB331:BM331)</f>
        <v>0</v>
      </c>
      <c r="DC331">
        <f>SUM(BN331:BY331)</f>
        <v>1707.74</v>
      </c>
      <c r="DD331">
        <f>SUM(BZ331:CK331)</f>
        <v>9608.2699999999986</v>
      </c>
      <c r="DE331">
        <f>SUM(CL331:CW331)</f>
        <v>0</v>
      </c>
      <c r="DF331">
        <f>SUM(F331:CW331)</f>
        <v>11316.009999999998</v>
      </c>
    </row>
    <row r="332" spans="1:110"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c r="CX332">
        <f>SUM(F332:Q332)</f>
        <v>0</v>
      </c>
      <c r="CY332">
        <f>SUM(R332:AC332)</f>
        <v>5664.64</v>
      </c>
      <c r="CZ332">
        <f>SUM(AD332:AO332)</f>
        <v>0</v>
      </c>
      <c r="DA332">
        <f>SUM(AP332:BA332)</f>
        <v>0</v>
      </c>
      <c r="DB332">
        <f>SUM(BB332:BM332)</f>
        <v>0</v>
      </c>
      <c r="DC332">
        <f>SUM(BN332:BY332)</f>
        <v>0</v>
      </c>
      <c r="DD332">
        <f>SUM(BZ332:CK332)</f>
        <v>0</v>
      </c>
      <c r="DE332">
        <f>SUM(CL332:CW332)</f>
        <v>0</v>
      </c>
      <c r="DF332">
        <f>SUM(F332:CW332)</f>
        <v>5664.64</v>
      </c>
    </row>
    <row r="333" spans="1:110"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c r="CX333">
        <f>SUM(F333:Q333)</f>
        <v>0</v>
      </c>
      <c r="CY333">
        <f>SUM(R333:AC333)</f>
        <v>0</v>
      </c>
      <c r="CZ333">
        <f>SUM(AD333:AO333)</f>
        <v>0</v>
      </c>
      <c r="DA333">
        <f>SUM(AP333:BA333)</f>
        <v>0</v>
      </c>
      <c r="DB333">
        <f>SUM(BB333:BM333)</f>
        <v>0</v>
      </c>
      <c r="DC333">
        <f>SUM(BN333:BY333)</f>
        <v>5362.11</v>
      </c>
      <c r="DD333">
        <f>SUM(BZ333:CK333)</f>
        <v>13618.900000000001</v>
      </c>
      <c r="DE333">
        <f>SUM(CL333:CW333)</f>
        <v>1169.31</v>
      </c>
      <c r="DF333">
        <f>SUM(F333:CW333)</f>
        <v>20150.32</v>
      </c>
    </row>
    <row r="334" spans="1:110"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c r="CX334">
        <f>SUM(F334:Q334)</f>
        <v>0</v>
      </c>
      <c r="CY334">
        <f>SUM(R334:AC334)</f>
        <v>0</v>
      </c>
      <c r="CZ334">
        <f>SUM(AD334:AO334)</f>
        <v>0</v>
      </c>
      <c r="DA334">
        <f>SUM(AP334:BA334)</f>
        <v>0</v>
      </c>
      <c r="DB334">
        <f>SUM(BB334:BM334)</f>
        <v>0</v>
      </c>
      <c r="DC334">
        <f>SUM(BN334:BY334)</f>
        <v>0</v>
      </c>
      <c r="DD334">
        <f>SUM(BZ334:CK334)</f>
        <v>6515.02</v>
      </c>
      <c r="DE334">
        <f>SUM(CL334:CW334)</f>
        <v>0</v>
      </c>
      <c r="DF334">
        <f>SUM(F334:CW334)</f>
        <v>6515.02</v>
      </c>
    </row>
    <row r="335" spans="1:110"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c r="CX335">
        <f>SUM(F335:Q335)</f>
        <v>0</v>
      </c>
      <c r="CY335">
        <f>SUM(R335:AC335)</f>
        <v>0</v>
      </c>
      <c r="CZ335">
        <f>SUM(AD335:AO335)</f>
        <v>0</v>
      </c>
      <c r="DA335">
        <f>SUM(AP335:BA335)</f>
        <v>0</v>
      </c>
      <c r="DB335">
        <f>SUM(BB335:BM335)</f>
        <v>2935.46</v>
      </c>
      <c r="DC335">
        <f>SUM(BN335:BY335)</f>
        <v>312.79000000000002</v>
      </c>
      <c r="DD335">
        <f>SUM(BZ335:CK335)</f>
        <v>0</v>
      </c>
      <c r="DE335">
        <f>SUM(CL335:CW335)</f>
        <v>0</v>
      </c>
      <c r="DF335">
        <f>SUM(F335:CW335)</f>
        <v>3248.25</v>
      </c>
    </row>
    <row r="336" spans="1:110"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c r="CX336">
        <f>SUM(F336:Q336)</f>
        <v>0</v>
      </c>
      <c r="CY336">
        <f>SUM(R336:AC336)</f>
        <v>0</v>
      </c>
      <c r="CZ336">
        <f>SUM(AD336:AO336)</f>
        <v>0</v>
      </c>
      <c r="DA336">
        <f>SUM(AP336:BA336)</f>
        <v>9489.6499999999978</v>
      </c>
      <c r="DB336">
        <f>SUM(BB336:BM336)</f>
        <v>5198.68</v>
      </c>
      <c r="DC336">
        <f>SUM(BN336:BY336)</f>
        <v>1266.9000000000001</v>
      </c>
      <c r="DD336">
        <f>SUM(BZ336:CK336)</f>
        <v>0</v>
      </c>
      <c r="DE336">
        <f>SUM(CL336:CW336)</f>
        <v>0</v>
      </c>
      <c r="DF336">
        <f>SUM(F336:CW336)</f>
        <v>15955.229999999998</v>
      </c>
    </row>
    <row r="337" spans="1:110"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c r="CX337">
        <f>SUM(F337:Q337)</f>
        <v>0</v>
      </c>
      <c r="CY337">
        <f>SUM(R337:AC337)</f>
        <v>0</v>
      </c>
      <c r="CZ337">
        <f>SUM(AD337:AO337)</f>
        <v>0</v>
      </c>
      <c r="DA337">
        <f>SUM(AP337:BA337)</f>
        <v>2863.31</v>
      </c>
      <c r="DB337">
        <f>SUM(BB337:BM337)</f>
        <v>0</v>
      </c>
      <c r="DC337">
        <f>SUM(BN337:BY337)</f>
        <v>0</v>
      </c>
      <c r="DD337">
        <f>SUM(BZ337:CK337)</f>
        <v>0</v>
      </c>
      <c r="DE337">
        <f>SUM(CL337:CW337)</f>
        <v>0</v>
      </c>
      <c r="DF337">
        <f>SUM(F337:CW337)</f>
        <v>2863.31</v>
      </c>
    </row>
    <row r="338" spans="1:110"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c r="CX338">
        <f>SUM(F338:Q338)</f>
        <v>0</v>
      </c>
      <c r="CY338">
        <f>SUM(R338:AC338)</f>
        <v>0</v>
      </c>
      <c r="CZ338">
        <f>SUM(AD338:AO338)</f>
        <v>0</v>
      </c>
      <c r="DA338">
        <f>SUM(AP338:BA338)</f>
        <v>0</v>
      </c>
      <c r="DB338">
        <f>SUM(BB338:BM338)</f>
        <v>1981.44</v>
      </c>
      <c r="DC338">
        <f>SUM(BN338:BY338)</f>
        <v>0</v>
      </c>
      <c r="DD338">
        <f>SUM(BZ338:CK338)</f>
        <v>0</v>
      </c>
      <c r="DE338">
        <f>SUM(CL338:CW338)</f>
        <v>0</v>
      </c>
      <c r="DF338">
        <f>SUM(F338:CW338)</f>
        <v>1981.44</v>
      </c>
    </row>
    <row r="339" spans="1:110"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c r="CX339">
        <f>SUM(F339:Q339)</f>
        <v>3636.91</v>
      </c>
      <c r="CY339">
        <f>SUM(R339:AC339)</f>
        <v>3818.49</v>
      </c>
      <c r="CZ339">
        <f>SUM(AD339:AO339)</f>
        <v>0</v>
      </c>
      <c r="DA339">
        <f>SUM(AP339:BA339)</f>
        <v>0</v>
      </c>
      <c r="DB339">
        <f>SUM(BB339:BM339)</f>
        <v>0</v>
      </c>
      <c r="DC339">
        <f>SUM(BN339:BY339)</f>
        <v>0</v>
      </c>
      <c r="DD339">
        <f>SUM(BZ339:CK339)</f>
        <v>0</v>
      </c>
      <c r="DE339">
        <f>SUM(CL339:CW339)</f>
        <v>0</v>
      </c>
      <c r="DF339">
        <f>SUM(F339:CW339)</f>
        <v>7455.4000000000005</v>
      </c>
    </row>
    <row r="340" spans="1:110"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c r="CX340">
        <f>SUM(F340:Q340)</f>
        <v>0</v>
      </c>
      <c r="CY340">
        <f>SUM(R340:AC340)</f>
        <v>0</v>
      </c>
      <c r="CZ340">
        <f>SUM(AD340:AO340)</f>
        <v>0</v>
      </c>
      <c r="DA340">
        <f>SUM(AP340:BA340)</f>
        <v>0</v>
      </c>
      <c r="DB340">
        <f>SUM(BB340:BM340)</f>
        <v>0</v>
      </c>
      <c r="DC340">
        <f>SUM(BN340:BY340)</f>
        <v>0</v>
      </c>
      <c r="DD340">
        <f>SUM(BZ340:CK340)</f>
        <v>4564.1899999999996</v>
      </c>
      <c r="DE340">
        <f>SUM(CL340:CW340)</f>
        <v>714.82</v>
      </c>
      <c r="DF340">
        <f>SUM(F340:CW340)</f>
        <v>5279.0099999999993</v>
      </c>
    </row>
    <row r="341" spans="1:110"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c r="CX341">
        <f>SUM(F341:Q341)</f>
        <v>0</v>
      </c>
      <c r="CY341">
        <f>SUM(R341:AC341)</f>
        <v>0</v>
      </c>
      <c r="CZ341">
        <f>SUM(AD341:AO341)</f>
        <v>0</v>
      </c>
      <c r="DA341">
        <f>SUM(AP341:BA341)</f>
        <v>0</v>
      </c>
      <c r="DB341">
        <f>SUM(BB341:BM341)</f>
        <v>0</v>
      </c>
      <c r="DC341">
        <f>SUM(BN341:BY341)</f>
        <v>9101.23</v>
      </c>
      <c r="DD341">
        <f>SUM(BZ341:CK341)</f>
        <v>0</v>
      </c>
      <c r="DE341">
        <f>SUM(CL341:CW341)</f>
        <v>0</v>
      </c>
      <c r="DF341">
        <f>SUM(F341:CW341)</f>
        <v>9101.23</v>
      </c>
    </row>
    <row r="342" spans="1:110"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c r="CX342">
        <f>SUM(F342:Q342)</f>
        <v>0</v>
      </c>
      <c r="CY342">
        <f>SUM(R342:AC342)</f>
        <v>0</v>
      </c>
      <c r="CZ342">
        <f>SUM(AD342:AO342)</f>
        <v>8076.74</v>
      </c>
      <c r="DA342">
        <f>SUM(AP342:BA342)</f>
        <v>1541.09</v>
      </c>
      <c r="DB342">
        <f>SUM(BB342:BM342)</f>
        <v>0</v>
      </c>
      <c r="DC342">
        <f>SUM(BN342:BY342)</f>
        <v>0</v>
      </c>
      <c r="DD342">
        <f>SUM(BZ342:CK342)</f>
        <v>0</v>
      </c>
      <c r="DE342">
        <f>SUM(CL342:CW342)</f>
        <v>0</v>
      </c>
      <c r="DF342">
        <f>SUM(F342:CW342)</f>
        <v>9617.83</v>
      </c>
    </row>
    <row r="343" spans="1:110"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c r="CX343">
        <f>SUM(F343:Q343)</f>
        <v>0</v>
      </c>
      <c r="CY343">
        <f>SUM(R343:AC343)</f>
        <v>0</v>
      </c>
      <c r="CZ343">
        <f>SUM(AD343:AO343)</f>
        <v>0</v>
      </c>
      <c r="DA343">
        <f>SUM(AP343:BA343)</f>
        <v>0</v>
      </c>
      <c r="DB343">
        <f>SUM(BB343:BM343)</f>
        <v>0</v>
      </c>
      <c r="DC343">
        <f>SUM(BN343:BY343)</f>
        <v>0</v>
      </c>
      <c r="DD343">
        <f>SUM(BZ343:CK343)</f>
        <v>0</v>
      </c>
      <c r="DE343">
        <f>SUM(CL343:CW343)</f>
        <v>2217.9</v>
      </c>
      <c r="DF343">
        <f>SUM(F343:CW343)</f>
        <v>2217.9</v>
      </c>
    </row>
    <row r="344" spans="1:110"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c r="CX344">
        <f>SUM(F344:Q344)</f>
        <v>0</v>
      </c>
      <c r="CY344">
        <f>SUM(R344:AC344)</f>
        <v>0</v>
      </c>
      <c r="CZ344">
        <f>SUM(AD344:AO344)</f>
        <v>0</v>
      </c>
      <c r="DA344">
        <f>SUM(AP344:BA344)</f>
        <v>3062.79</v>
      </c>
      <c r="DB344">
        <f>SUM(BB344:BM344)</f>
        <v>0</v>
      </c>
      <c r="DC344">
        <f>SUM(BN344:BY344)</f>
        <v>0</v>
      </c>
      <c r="DD344">
        <f>SUM(BZ344:CK344)</f>
        <v>0</v>
      </c>
      <c r="DE344">
        <f>SUM(CL344:CW344)</f>
        <v>0</v>
      </c>
      <c r="DF344">
        <f>SUM(F344:CW344)</f>
        <v>3062.79</v>
      </c>
    </row>
    <row r="345" spans="1:110"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c r="CX345">
        <f>SUM(F345:Q345)</f>
        <v>0</v>
      </c>
      <c r="CY345">
        <f>SUM(R345:AC345)</f>
        <v>0</v>
      </c>
      <c r="CZ345">
        <f>SUM(AD345:AO345)</f>
        <v>1242.6400000000001</v>
      </c>
      <c r="DA345">
        <f>SUM(AP345:BA345)</f>
        <v>0</v>
      </c>
      <c r="DB345">
        <f>SUM(BB345:BM345)</f>
        <v>0</v>
      </c>
      <c r="DC345">
        <f>SUM(BN345:BY345)</f>
        <v>0</v>
      </c>
      <c r="DD345">
        <f>SUM(BZ345:CK345)</f>
        <v>0</v>
      </c>
      <c r="DE345">
        <f>SUM(CL345:CW345)</f>
        <v>0</v>
      </c>
      <c r="DF345">
        <f>SUM(F345:CW345)</f>
        <v>1242.6400000000001</v>
      </c>
    </row>
    <row r="346" spans="1:110"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c r="CX346">
        <f>SUM(F346:Q346)</f>
        <v>0</v>
      </c>
      <c r="CY346">
        <f>SUM(R346:AC346)</f>
        <v>0</v>
      </c>
      <c r="CZ346">
        <f>SUM(AD346:AO346)</f>
        <v>1685.87</v>
      </c>
      <c r="DA346">
        <f>SUM(AP346:BA346)</f>
        <v>2978.5</v>
      </c>
      <c r="DB346">
        <f>SUM(BB346:BM346)</f>
        <v>0</v>
      </c>
      <c r="DC346">
        <f>SUM(BN346:BY346)</f>
        <v>0</v>
      </c>
      <c r="DD346">
        <f>SUM(BZ346:CK346)</f>
        <v>0</v>
      </c>
      <c r="DE346">
        <f>SUM(CL346:CW346)</f>
        <v>0</v>
      </c>
      <c r="DF346">
        <f>SUM(F346:CW346)</f>
        <v>4664.37</v>
      </c>
    </row>
    <row r="347" spans="1:110"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c r="CX347">
        <f>SUM(F347:Q347)</f>
        <v>0</v>
      </c>
      <c r="CY347">
        <f>SUM(R347:AC347)</f>
        <v>0</v>
      </c>
      <c r="CZ347">
        <f>SUM(AD347:AO347)</f>
        <v>0</v>
      </c>
      <c r="DA347">
        <f>SUM(AP347:BA347)</f>
        <v>5329.48</v>
      </c>
      <c r="DB347">
        <f>SUM(BB347:BM347)</f>
        <v>0</v>
      </c>
      <c r="DC347">
        <f>SUM(BN347:BY347)</f>
        <v>0</v>
      </c>
      <c r="DD347">
        <f>SUM(BZ347:CK347)</f>
        <v>0</v>
      </c>
      <c r="DE347">
        <f>SUM(CL347:CW347)</f>
        <v>0</v>
      </c>
      <c r="DF347">
        <f>SUM(F347:CW347)</f>
        <v>5329.48</v>
      </c>
    </row>
    <row r="348" spans="1:110"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c r="CX348">
        <f>SUM(F348:Q348)</f>
        <v>0</v>
      </c>
      <c r="CY348">
        <f>SUM(R348:AC348)</f>
        <v>0</v>
      </c>
      <c r="CZ348">
        <f>SUM(AD348:AO348)</f>
        <v>0</v>
      </c>
      <c r="DA348">
        <f>SUM(AP348:BA348)</f>
        <v>0</v>
      </c>
      <c r="DB348">
        <f>SUM(BB348:BM348)</f>
        <v>0</v>
      </c>
      <c r="DC348">
        <f>SUM(BN348:BY348)</f>
        <v>0</v>
      </c>
      <c r="DD348">
        <f>SUM(BZ348:CK348)</f>
        <v>1948.25</v>
      </c>
      <c r="DE348">
        <f>SUM(CL348:CW348)</f>
        <v>10502.06</v>
      </c>
      <c r="DF348">
        <f>SUM(F348:CW348)</f>
        <v>12450.310000000001</v>
      </c>
    </row>
    <row r="349" spans="1:110"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c r="CX349">
        <f>SUM(F349:Q349)</f>
        <v>0</v>
      </c>
      <c r="CY349">
        <f>SUM(R349:AC349)</f>
        <v>1756.55</v>
      </c>
      <c r="CZ349">
        <f>SUM(AD349:AO349)</f>
        <v>0</v>
      </c>
      <c r="DA349">
        <f>SUM(AP349:BA349)</f>
        <v>0</v>
      </c>
      <c r="DB349">
        <f>SUM(BB349:BM349)</f>
        <v>0</v>
      </c>
      <c r="DC349">
        <f>SUM(BN349:BY349)</f>
        <v>0</v>
      </c>
      <c r="DD349">
        <f>SUM(BZ349:CK349)</f>
        <v>0</v>
      </c>
      <c r="DE349">
        <f>SUM(CL349:CW349)</f>
        <v>0</v>
      </c>
      <c r="DF349">
        <f>SUM(F349:CW349)</f>
        <v>1756.55</v>
      </c>
    </row>
    <row r="350" spans="1:110"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c r="CX350">
        <f>SUM(F350:Q350)</f>
        <v>0</v>
      </c>
      <c r="CY350">
        <f>SUM(R350:AC350)</f>
        <v>0</v>
      </c>
      <c r="CZ350">
        <f>SUM(AD350:AO350)</f>
        <v>0</v>
      </c>
      <c r="DA350">
        <f>SUM(AP350:BA350)</f>
        <v>0</v>
      </c>
      <c r="DB350">
        <f>SUM(BB350:BM350)</f>
        <v>0</v>
      </c>
      <c r="DC350">
        <f>SUM(BN350:BY350)</f>
        <v>9684.01</v>
      </c>
      <c r="DD350">
        <f>SUM(BZ350:CK350)</f>
        <v>1671</v>
      </c>
      <c r="DE350">
        <f>SUM(CL350:CW350)</f>
        <v>0</v>
      </c>
      <c r="DF350">
        <f>SUM(F350:CW350)</f>
        <v>11355.01</v>
      </c>
    </row>
    <row r="351" spans="1:110"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c r="CX351">
        <f>SUM(F351:Q351)</f>
        <v>0</v>
      </c>
      <c r="CY351">
        <f>SUM(R351:AC351)</f>
        <v>0</v>
      </c>
      <c r="CZ351">
        <f>SUM(AD351:AO351)</f>
        <v>0</v>
      </c>
      <c r="DA351">
        <f>SUM(AP351:BA351)</f>
        <v>0</v>
      </c>
      <c r="DB351">
        <f>SUM(BB351:BM351)</f>
        <v>2253.64</v>
      </c>
      <c r="DC351">
        <f>SUM(BN351:BY351)</f>
        <v>712.5</v>
      </c>
      <c r="DD351">
        <f>SUM(BZ351:CK351)</f>
        <v>0</v>
      </c>
      <c r="DE351">
        <f>SUM(CL351:CW351)</f>
        <v>0</v>
      </c>
      <c r="DF351">
        <f>SUM(F351:CW351)</f>
        <v>2966.14</v>
      </c>
    </row>
    <row r="352" spans="1:110"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c r="CX352">
        <f>SUM(F352:Q352)</f>
        <v>0</v>
      </c>
      <c r="CY352">
        <f>SUM(R352:AC352)</f>
        <v>5480.23</v>
      </c>
      <c r="CZ352">
        <f>SUM(AD352:AO352)</f>
        <v>0</v>
      </c>
      <c r="DA352">
        <f>SUM(AP352:BA352)</f>
        <v>0</v>
      </c>
      <c r="DB352">
        <f>SUM(BB352:BM352)</f>
        <v>0</v>
      </c>
      <c r="DC352">
        <f>SUM(BN352:BY352)</f>
        <v>0</v>
      </c>
      <c r="DD352">
        <f>SUM(BZ352:CK352)</f>
        <v>0</v>
      </c>
      <c r="DE352">
        <f>SUM(CL352:CW352)</f>
        <v>0</v>
      </c>
      <c r="DF352">
        <f>SUM(F352:CW352)</f>
        <v>5480.23</v>
      </c>
    </row>
    <row r="353" spans="1:110"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c r="CX353">
        <f>SUM(F353:Q353)</f>
        <v>1360.12</v>
      </c>
      <c r="CY353">
        <f>SUM(R353:AC353)</f>
        <v>4474.28</v>
      </c>
      <c r="CZ353">
        <f>SUM(AD353:AO353)</f>
        <v>0</v>
      </c>
      <c r="DA353">
        <f>SUM(AP353:BA353)</f>
        <v>0</v>
      </c>
      <c r="DB353">
        <f>SUM(BB353:BM353)</f>
        <v>0</v>
      </c>
      <c r="DC353">
        <f>SUM(BN353:BY353)</f>
        <v>0</v>
      </c>
      <c r="DD353">
        <f>SUM(BZ353:CK353)</f>
        <v>0</v>
      </c>
      <c r="DE353">
        <f>SUM(CL353:CW353)</f>
        <v>0</v>
      </c>
      <c r="DF353">
        <f>SUM(F353:CW353)</f>
        <v>5834.4</v>
      </c>
    </row>
    <row r="354" spans="1:110"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c r="CX354">
        <f>SUM(F354:Q354)</f>
        <v>0</v>
      </c>
      <c r="CY354">
        <f>SUM(R354:AC354)</f>
        <v>0</v>
      </c>
      <c r="CZ354">
        <f>SUM(AD354:AO354)</f>
        <v>0</v>
      </c>
      <c r="DA354">
        <f>SUM(AP354:BA354)</f>
        <v>0</v>
      </c>
      <c r="DB354">
        <f>SUM(BB354:BM354)</f>
        <v>0</v>
      </c>
      <c r="DC354">
        <f>SUM(BN354:BY354)</f>
        <v>0</v>
      </c>
      <c r="DD354">
        <f>SUM(BZ354:CK354)</f>
        <v>23128.3</v>
      </c>
      <c r="DE354">
        <f>SUM(CL354:CW354)</f>
        <v>0</v>
      </c>
      <c r="DF354">
        <f>SUM(F354:CW354)</f>
        <v>23128.3</v>
      </c>
    </row>
    <row r="355" spans="1:110"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c r="CX355">
        <f>SUM(F355:Q355)</f>
        <v>0</v>
      </c>
      <c r="CY355">
        <f>SUM(R355:AC355)</f>
        <v>0</v>
      </c>
      <c r="CZ355">
        <f>SUM(AD355:AO355)</f>
        <v>0</v>
      </c>
      <c r="DA355">
        <f>SUM(AP355:BA355)</f>
        <v>0</v>
      </c>
      <c r="DB355">
        <f>SUM(BB355:BM355)</f>
        <v>2314.92</v>
      </c>
      <c r="DC355">
        <f>SUM(BN355:BY355)</f>
        <v>203.24</v>
      </c>
      <c r="DD355">
        <f>SUM(BZ355:CK355)</f>
        <v>0</v>
      </c>
      <c r="DE355">
        <f>SUM(CL355:CW355)</f>
        <v>0</v>
      </c>
      <c r="DF355">
        <f>SUM(F355:CW355)</f>
        <v>2518.16</v>
      </c>
    </row>
    <row r="356" spans="1:110"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c r="CX356">
        <f>SUM(F356:Q356)</f>
        <v>0</v>
      </c>
      <c r="CY356">
        <f>SUM(R356:AC356)</f>
        <v>8123.5399999999991</v>
      </c>
      <c r="CZ356">
        <f>SUM(AD356:AO356)</f>
        <v>3686.07</v>
      </c>
      <c r="DA356">
        <f>SUM(AP356:BA356)</f>
        <v>2296.98</v>
      </c>
      <c r="DB356">
        <f>SUM(BB356:BM356)</f>
        <v>0</v>
      </c>
      <c r="DC356">
        <f>SUM(BN356:BY356)</f>
        <v>0</v>
      </c>
      <c r="DD356">
        <f>SUM(BZ356:CK356)</f>
        <v>0</v>
      </c>
      <c r="DE356">
        <f>SUM(CL356:CW356)</f>
        <v>0</v>
      </c>
      <c r="DF356">
        <f>SUM(F356:CW356)</f>
        <v>14106.589999999998</v>
      </c>
    </row>
    <row r="357" spans="1:110"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c r="CX357">
        <f>SUM(F357:Q357)</f>
        <v>0</v>
      </c>
      <c r="CY357">
        <f>SUM(R357:AC357)</f>
        <v>0</v>
      </c>
      <c r="CZ357">
        <f>SUM(AD357:AO357)</f>
        <v>2384.69</v>
      </c>
      <c r="DA357">
        <f>SUM(AP357:BA357)</f>
        <v>0</v>
      </c>
      <c r="DB357">
        <f>SUM(BB357:BM357)</f>
        <v>0</v>
      </c>
      <c r="DC357">
        <f>SUM(BN357:BY357)</f>
        <v>0</v>
      </c>
      <c r="DD357">
        <f>SUM(BZ357:CK357)</f>
        <v>0</v>
      </c>
      <c r="DE357">
        <f>SUM(CL357:CW357)</f>
        <v>0</v>
      </c>
      <c r="DF357">
        <f>SUM(F357:CW357)</f>
        <v>2384.69</v>
      </c>
    </row>
    <row r="358" spans="1:110"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c r="CX358">
        <f>SUM(F358:Q358)</f>
        <v>0</v>
      </c>
      <c r="CY358">
        <f>SUM(R358:AC358)</f>
        <v>0</v>
      </c>
      <c r="CZ358">
        <f>SUM(AD358:AO358)</f>
        <v>4488.1499999999996</v>
      </c>
      <c r="DA358">
        <f>SUM(AP358:BA358)</f>
        <v>0</v>
      </c>
      <c r="DB358">
        <f>SUM(BB358:BM358)</f>
        <v>0</v>
      </c>
      <c r="DC358">
        <f>SUM(BN358:BY358)</f>
        <v>0</v>
      </c>
      <c r="DD358">
        <f>SUM(BZ358:CK358)</f>
        <v>0</v>
      </c>
      <c r="DE358">
        <f>SUM(CL358:CW358)</f>
        <v>0</v>
      </c>
      <c r="DF358">
        <f>SUM(F358:CW358)</f>
        <v>4488.1499999999996</v>
      </c>
    </row>
    <row r="359" spans="1:110"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c r="CX359">
        <f>SUM(F359:Q359)</f>
        <v>0</v>
      </c>
      <c r="CY359">
        <f>SUM(R359:AC359)</f>
        <v>0</v>
      </c>
      <c r="CZ359">
        <f>SUM(AD359:AO359)</f>
        <v>0</v>
      </c>
      <c r="DA359">
        <f>SUM(AP359:BA359)</f>
        <v>0</v>
      </c>
      <c r="DB359">
        <f>SUM(BB359:BM359)</f>
        <v>0</v>
      </c>
      <c r="DC359">
        <f>SUM(BN359:BY359)</f>
        <v>0</v>
      </c>
      <c r="DD359">
        <f>SUM(BZ359:CK359)</f>
        <v>5738.8</v>
      </c>
      <c r="DE359">
        <f>SUM(CL359:CW359)</f>
        <v>0</v>
      </c>
      <c r="DF359">
        <f>SUM(F359:CW359)</f>
        <v>5738.8</v>
      </c>
    </row>
    <row r="360" spans="1:110"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c r="CX360">
        <f>SUM(F360:Q360)</f>
        <v>0</v>
      </c>
      <c r="CY360">
        <f>SUM(R360:AC360)</f>
        <v>0</v>
      </c>
      <c r="CZ360">
        <f>SUM(AD360:AO360)</f>
        <v>0</v>
      </c>
      <c r="DA360">
        <f>SUM(AP360:BA360)</f>
        <v>0</v>
      </c>
      <c r="DB360">
        <f>SUM(BB360:BM360)</f>
        <v>0</v>
      </c>
      <c r="DC360">
        <f>SUM(BN360:BY360)</f>
        <v>0</v>
      </c>
      <c r="DD360">
        <f>SUM(BZ360:CK360)</f>
        <v>2132.85</v>
      </c>
      <c r="DE360">
        <f>SUM(CL360:CW360)</f>
        <v>1997.98</v>
      </c>
      <c r="DF360">
        <f>SUM(F360:CW360)</f>
        <v>4130.83</v>
      </c>
    </row>
    <row r="361" spans="1:110"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c r="CX361">
        <f>SUM(F361:Q361)</f>
        <v>0</v>
      </c>
      <c r="CY361">
        <f>SUM(R361:AC361)</f>
        <v>0</v>
      </c>
      <c r="CZ361">
        <f>SUM(AD361:AO361)</f>
        <v>0</v>
      </c>
      <c r="DA361">
        <f>SUM(AP361:BA361)</f>
        <v>0</v>
      </c>
      <c r="DB361">
        <f>SUM(BB361:BM361)</f>
        <v>0</v>
      </c>
      <c r="DC361">
        <f>SUM(BN361:BY361)</f>
        <v>0</v>
      </c>
      <c r="DD361">
        <f>SUM(BZ361:CK361)</f>
        <v>5889.67</v>
      </c>
      <c r="DE361">
        <f>SUM(CL361:CW361)</f>
        <v>1829.36</v>
      </c>
      <c r="DF361">
        <f>SUM(F361:CW361)</f>
        <v>7719.03</v>
      </c>
    </row>
    <row r="362" spans="1:110"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c r="CX362">
        <f>SUM(F362:Q362)</f>
        <v>0</v>
      </c>
      <c r="CY362">
        <f>SUM(R362:AC362)</f>
        <v>0</v>
      </c>
      <c r="CZ362">
        <f>SUM(AD362:AO362)</f>
        <v>0</v>
      </c>
      <c r="DA362">
        <f>SUM(AP362:BA362)</f>
        <v>0</v>
      </c>
      <c r="DB362">
        <f>SUM(BB362:BM362)</f>
        <v>0</v>
      </c>
      <c r="DC362">
        <f>SUM(BN362:BY362)</f>
        <v>0</v>
      </c>
      <c r="DD362">
        <f>SUM(BZ362:CK362)</f>
        <v>3511.9</v>
      </c>
      <c r="DE362">
        <f>SUM(CL362:CW362)</f>
        <v>0</v>
      </c>
      <c r="DF362">
        <f>SUM(F362:CW362)</f>
        <v>3511.9</v>
      </c>
    </row>
    <row r="363" spans="1:110"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c r="CX363">
        <f>SUM(F363:Q363)</f>
        <v>0</v>
      </c>
      <c r="CY363">
        <f>SUM(R363:AC363)</f>
        <v>0</v>
      </c>
      <c r="CZ363">
        <f>SUM(AD363:AO363)</f>
        <v>0</v>
      </c>
      <c r="DA363">
        <f>SUM(AP363:BA363)</f>
        <v>0</v>
      </c>
      <c r="DB363">
        <f>SUM(BB363:BM363)</f>
        <v>0</v>
      </c>
      <c r="DC363">
        <f>SUM(BN363:BY363)</f>
        <v>0</v>
      </c>
      <c r="DD363">
        <f>SUM(BZ363:CK363)</f>
        <v>7413.73</v>
      </c>
      <c r="DE363">
        <f>SUM(CL363:CW363)</f>
        <v>0</v>
      </c>
      <c r="DF363">
        <f>SUM(F363:CW363)</f>
        <v>7413.73</v>
      </c>
    </row>
    <row r="364" spans="1:110"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c r="CX364">
        <f>SUM(F364:Q364)</f>
        <v>0</v>
      </c>
      <c r="CY364">
        <f>SUM(R364:AC364)</f>
        <v>4372.55</v>
      </c>
      <c r="CZ364">
        <f>SUM(AD364:AO364)</f>
        <v>0</v>
      </c>
      <c r="DA364">
        <f>SUM(AP364:BA364)</f>
        <v>0</v>
      </c>
      <c r="DB364">
        <f>SUM(BB364:BM364)</f>
        <v>0</v>
      </c>
      <c r="DC364">
        <f>SUM(BN364:BY364)</f>
        <v>0</v>
      </c>
      <c r="DD364">
        <f>SUM(BZ364:CK364)</f>
        <v>0</v>
      </c>
      <c r="DE364">
        <f>SUM(CL364:CW364)</f>
        <v>0</v>
      </c>
      <c r="DF364">
        <f>SUM(F364:CW364)</f>
        <v>4372.55</v>
      </c>
    </row>
    <row r="365" spans="1:110"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c r="CX365">
        <f>SUM(F365:Q365)</f>
        <v>0</v>
      </c>
      <c r="CY365">
        <f>SUM(R365:AC365)</f>
        <v>0</v>
      </c>
      <c r="CZ365">
        <f>SUM(AD365:AO365)</f>
        <v>0</v>
      </c>
      <c r="DA365">
        <f>SUM(AP365:BA365)</f>
        <v>0</v>
      </c>
      <c r="DB365">
        <f>SUM(BB365:BM365)</f>
        <v>0</v>
      </c>
      <c r="DC365">
        <f>SUM(BN365:BY365)</f>
        <v>0</v>
      </c>
      <c r="DD365">
        <f>SUM(BZ365:CK365)</f>
        <v>0</v>
      </c>
      <c r="DE365">
        <f>SUM(CL365:CW365)</f>
        <v>9907.84</v>
      </c>
      <c r="DF365">
        <f>SUM(F365:CW365)</f>
        <v>9907.84</v>
      </c>
    </row>
    <row r="366" spans="1:110"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c r="CX366">
        <f>SUM(F366:Q366)</f>
        <v>0</v>
      </c>
      <c r="CY366">
        <f>SUM(R366:AC366)</f>
        <v>0</v>
      </c>
      <c r="CZ366">
        <f>SUM(AD366:AO366)</f>
        <v>0</v>
      </c>
      <c r="DA366">
        <f>SUM(AP366:BA366)</f>
        <v>0</v>
      </c>
      <c r="DB366">
        <f>SUM(BB366:BM366)</f>
        <v>0</v>
      </c>
      <c r="DC366">
        <f>SUM(BN366:BY366)</f>
        <v>5062.72</v>
      </c>
      <c r="DD366">
        <f>SUM(BZ366:CK366)</f>
        <v>0</v>
      </c>
      <c r="DE366">
        <f>SUM(CL366:CW366)</f>
        <v>0</v>
      </c>
      <c r="DF366">
        <f>SUM(F366:CW366)</f>
        <v>5062.72</v>
      </c>
    </row>
    <row r="367" spans="1:110"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c r="CX367">
        <f>SUM(F367:Q367)</f>
        <v>0</v>
      </c>
      <c r="CY367">
        <f>SUM(R367:AC367)</f>
        <v>0</v>
      </c>
      <c r="CZ367">
        <f>SUM(AD367:AO367)</f>
        <v>0</v>
      </c>
      <c r="DA367">
        <f>SUM(AP367:BA367)</f>
        <v>0</v>
      </c>
      <c r="DB367">
        <f>SUM(BB367:BM367)</f>
        <v>3567.44</v>
      </c>
      <c r="DC367">
        <f>SUM(BN367:BY367)</f>
        <v>0</v>
      </c>
      <c r="DD367">
        <f>SUM(BZ367:CK367)</f>
        <v>0</v>
      </c>
      <c r="DE367">
        <f>SUM(CL367:CW367)</f>
        <v>0</v>
      </c>
      <c r="DF367">
        <f>SUM(F367:CW367)</f>
        <v>3567.44</v>
      </c>
    </row>
    <row r="368" spans="1:110"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c r="CX368">
        <f>SUM(F368:Q368)</f>
        <v>2881.81</v>
      </c>
      <c r="CY368">
        <f>SUM(R368:AC368)</f>
        <v>1083.8499999999999</v>
      </c>
      <c r="CZ368">
        <f>SUM(AD368:AO368)</f>
        <v>0</v>
      </c>
      <c r="DA368">
        <f>SUM(AP368:BA368)</f>
        <v>0</v>
      </c>
      <c r="DB368">
        <f>SUM(BB368:BM368)</f>
        <v>0</v>
      </c>
      <c r="DC368">
        <f>SUM(BN368:BY368)</f>
        <v>0</v>
      </c>
      <c r="DD368">
        <f>SUM(BZ368:CK368)</f>
        <v>0</v>
      </c>
      <c r="DE368">
        <f>SUM(CL368:CW368)</f>
        <v>0</v>
      </c>
      <c r="DF368">
        <f>SUM(F368:CW368)</f>
        <v>3965.66</v>
      </c>
    </row>
    <row r="369" spans="1:110"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c r="CX369">
        <f>SUM(F369:Q369)</f>
        <v>0</v>
      </c>
      <c r="CY369">
        <f>SUM(R369:AC369)</f>
        <v>0</v>
      </c>
      <c r="CZ369">
        <f>SUM(AD369:AO369)</f>
        <v>0</v>
      </c>
      <c r="DA369">
        <f>SUM(AP369:BA369)</f>
        <v>0</v>
      </c>
      <c r="DB369">
        <f>SUM(BB369:BM369)</f>
        <v>0</v>
      </c>
      <c r="DC369">
        <f>SUM(BN369:BY369)</f>
        <v>4379.57</v>
      </c>
      <c r="DD369">
        <f>SUM(BZ369:CK369)</f>
        <v>3005.4700000000003</v>
      </c>
      <c r="DE369">
        <f>SUM(CL369:CW369)</f>
        <v>0</v>
      </c>
      <c r="DF369">
        <f>SUM(F369:CW369)</f>
        <v>7385.04</v>
      </c>
    </row>
    <row r="370" spans="1:110"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c r="CX370">
        <f>SUM(F370:Q370)</f>
        <v>0</v>
      </c>
      <c r="CY370">
        <f>SUM(R370:AC370)</f>
        <v>0</v>
      </c>
      <c r="CZ370">
        <f>SUM(AD370:AO370)</f>
        <v>0</v>
      </c>
      <c r="DA370">
        <f>SUM(AP370:BA370)</f>
        <v>0</v>
      </c>
      <c r="DB370">
        <f>SUM(BB370:BM370)</f>
        <v>0</v>
      </c>
      <c r="DC370">
        <f>SUM(BN370:BY370)</f>
        <v>0</v>
      </c>
      <c r="DD370">
        <f>SUM(BZ370:CK370)</f>
        <v>43755.46</v>
      </c>
      <c r="DE370">
        <f>SUM(CL370:CW370)</f>
        <v>0</v>
      </c>
      <c r="DF370">
        <f>SUM(F370:CW370)</f>
        <v>43755.46</v>
      </c>
    </row>
    <row r="371" spans="1:110"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c r="CX371">
        <f>SUM(F371:Q371)</f>
        <v>0</v>
      </c>
      <c r="CY371">
        <f>SUM(R371:AC371)</f>
        <v>0</v>
      </c>
      <c r="CZ371">
        <f>SUM(AD371:AO371)</f>
        <v>0</v>
      </c>
      <c r="DA371">
        <f>SUM(AP371:BA371)</f>
        <v>0</v>
      </c>
      <c r="DB371">
        <f>SUM(BB371:BM371)</f>
        <v>4222.05</v>
      </c>
      <c r="DC371">
        <f>SUM(BN371:BY371)</f>
        <v>7803.3700000000008</v>
      </c>
      <c r="DD371">
        <f>SUM(BZ371:CK371)</f>
        <v>682.61</v>
      </c>
      <c r="DE371">
        <f>SUM(CL371:CW371)</f>
        <v>0</v>
      </c>
      <c r="DF371">
        <f>SUM(F371:CW371)</f>
        <v>12708.03</v>
      </c>
    </row>
    <row r="372" spans="1:110"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c r="CX372">
        <f>SUM(F372:Q372)</f>
        <v>0</v>
      </c>
      <c r="CY372">
        <f>SUM(R372:AC372)</f>
        <v>0</v>
      </c>
      <c r="CZ372">
        <f>SUM(AD372:AO372)</f>
        <v>2487.69</v>
      </c>
      <c r="DA372">
        <f>SUM(AP372:BA372)</f>
        <v>995.34</v>
      </c>
      <c r="DB372">
        <f>SUM(BB372:BM372)</f>
        <v>0</v>
      </c>
      <c r="DC372">
        <f>SUM(BN372:BY372)</f>
        <v>0</v>
      </c>
      <c r="DD372">
        <f>SUM(BZ372:CK372)</f>
        <v>0</v>
      </c>
      <c r="DE372">
        <f>SUM(CL372:CW372)</f>
        <v>0</v>
      </c>
      <c r="DF372">
        <f>SUM(F372:CW372)</f>
        <v>3483.03</v>
      </c>
    </row>
    <row r="373" spans="1:110"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c r="CX373">
        <f>SUM(F373:Q373)</f>
        <v>0</v>
      </c>
      <c r="CY373">
        <f>SUM(R373:AC373)</f>
        <v>0</v>
      </c>
      <c r="CZ373">
        <f>SUM(AD373:AO373)</f>
        <v>0</v>
      </c>
      <c r="DA373">
        <f>SUM(AP373:BA373)</f>
        <v>0</v>
      </c>
      <c r="DB373">
        <f>SUM(BB373:BM373)</f>
        <v>56037.119999999995</v>
      </c>
      <c r="DC373">
        <f>SUM(BN373:BY373)</f>
        <v>0</v>
      </c>
      <c r="DD373">
        <f>SUM(BZ373:CK373)</f>
        <v>0</v>
      </c>
      <c r="DE373">
        <f>SUM(CL373:CW373)</f>
        <v>0</v>
      </c>
      <c r="DF373">
        <f>SUM(F373:CW373)</f>
        <v>56037.119999999995</v>
      </c>
    </row>
    <row r="374" spans="1:110"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c r="CX374">
        <f>SUM(F374:Q374)</f>
        <v>0</v>
      </c>
      <c r="CY374">
        <f>SUM(R374:AC374)</f>
        <v>0</v>
      </c>
      <c r="CZ374">
        <f>SUM(AD374:AO374)</f>
        <v>0</v>
      </c>
      <c r="DA374">
        <f>SUM(AP374:BA374)</f>
        <v>0</v>
      </c>
      <c r="DB374">
        <f>SUM(BB374:BM374)</f>
        <v>0</v>
      </c>
      <c r="DC374">
        <f>SUM(BN374:BY374)</f>
        <v>0</v>
      </c>
      <c r="DD374">
        <f>SUM(BZ374:CK374)</f>
        <v>1442.89</v>
      </c>
      <c r="DE374">
        <f>SUM(CL374:CW374)</f>
        <v>1404.1599999999999</v>
      </c>
      <c r="DF374">
        <f>SUM(F374:CW374)</f>
        <v>2847.05</v>
      </c>
    </row>
    <row r="375" spans="1:110"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c r="CX375">
        <f>SUM(F375:Q375)</f>
        <v>0</v>
      </c>
      <c r="CY375">
        <f>SUM(R375:AC375)</f>
        <v>0</v>
      </c>
      <c r="CZ375">
        <f>SUM(AD375:AO375)</f>
        <v>0</v>
      </c>
      <c r="DA375">
        <f>SUM(AP375:BA375)</f>
        <v>0</v>
      </c>
      <c r="DB375">
        <f>SUM(BB375:BM375)</f>
        <v>0</v>
      </c>
      <c r="DC375">
        <f>SUM(BN375:BY375)</f>
        <v>0</v>
      </c>
      <c r="DD375">
        <f>SUM(BZ375:CK375)</f>
        <v>5638.3399999999992</v>
      </c>
      <c r="DE375">
        <f>SUM(CL375:CW375)</f>
        <v>12661.830000000002</v>
      </c>
      <c r="DF375">
        <f>SUM(F375:CW375)</f>
        <v>18300.169999999998</v>
      </c>
    </row>
    <row r="376" spans="1:110"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c r="CX376">
        <f>SUM(F376:Q376)</f>
        <v>0</v>
      </c>
      <c r="CY376">
        <f>SUM(R376:AC376)</f>
        <v>0</v>
      </c>
      <c r="CZ376">
        <f>SUM(AD376:AO376)</f>
        <v>0</v>
      </c>
      <c r="DA376">
        <f>SUM(AP376:BA376)</f>
        <v>5595.85</v>
      </c>
      <c r="DB376">
        <f>SUM(BB376:BM376)</f>
        <v>2831.4300000000003</v>
      </c>
      <c r="DC376">
        <f>SUM(BN376:BY376)</f>
        <v>0</v>
      </c>
      <c r="DD376">
        <f>SUM(BZ376:CK376)</f>
        <v>0</v>
      </c>
      <c r="DE376">
        <f>SUM(CL376:CW376)</f>
        <v>0</v>
      </c>
      <c r="DF376">
        <f>SUM(F376:CW376)</f>
        <v>8427.2800000000007</v>
      </c>
    </row>
    <row r="377" spans="1:110"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c r="CX377">
        <f>SUM(F377:Q377)</f>
        <v>0</v>
      </c>
      <c r="CY377">
        <f>SUM(R377:AC377)</f>
        <v>0</v>
      </c>
      <c r="CZ377">
        <f>SUM(AD377:AO377)</f>
        <v>0</v>
      </c>
      <c r="DA377">
        <f>SUM(AP377:BA377)</f>
        <v>0</v>
      </c>
      <c r="DB377">
        <f>SUM(BB377:BM377)</f>
        <v>0</v>
      </c>
      <c r="DC377">
        <f>SUM(BN377:BY377)</f>
        <v>0</v>
      </c>
      <c r="DD377">
        <f>SUM(BZ377:CK377)</f>
        <v>0</v>
      </c>
      <c r="DE377">
        <f>SUM(CL377:CW377)</f>
        <v>4193.7400000000007</v>
      </c>
      <c r="DF377">
        <f>SUM(F377:CW377)</f>
        <v>4193.7400000000007</v>
      </c>
    </row>
    <row r="378" spans="1:110"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c r="CX378">
        <f>SUM(F378:Q378)</f>
        <v>2680.25</v>
      </c>
      <c r="CY378">
        <f>SUM(R378:AC378)</f>
        <v>0</v>
      </c>
      <c r="CZ378">
        <f>SUM(AD378:AO378)</f>
        <v>0</v>
      </c>
      <c r="DA378">
        <f>SUM(AP378:BA378)</f>
        <v>0</v>
      </c>
      <c r="DB378">
        <f>SUM(BB378:BM378)</f>
        <v>0</v>
      </c>
      <c r="DC378">
        <f>SUM(BN378:BY378)</f>
        <v>0</v>
      </c>
      <c r="DD378">
        <f>SUM(BZ378:CK378)</f>
        <v>0</v>
      </c>
      <c r="DE378">
        <f>SUM(CL378:CW378)</f>
        <v>0</v>
      </c>
      <c r="DF378">
        <f>SUM(F378:CW378)</f>
        <v>2680.25</v>
      </c>
    </row>
    <row r="379" spans="1:110"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c r="CX379">
        <f>SUM(F379:Q379)</f>
        <v>0</v>
      </c>
      <c r="CY379">
        <f>SUM(R379:AC379)</f>
        <v>0</v>
      </c>
      <c r="CZ379">
        <f>SUM(AD379:AO379)</f>
        <v>0</v>
      </c>
      <c r="DA379">
        <f>SUM(AP379:BA379)</f>
        <v>0</v>
      </c>
      <c r="DB379">
        <f>SUM(BB379:BM379)</f>
        <v>0</v>
      </c>
      <c r="DC379">
        <f>SUM(BN379:BY379)</f>
        <v>0</v>
      </c>
      <c r="DD379">
        <f>SUM(BZ379:CK379)</f>
        <v>3492.74</v>
      </c>
      <c r="DE379">
        <f>SUM(CL379:CW379)</f>
        <v>0</v>
      </c>
      <c r="DF379">
        <f>SUM(F379:CW379)</f>
        <v>3492.74</v>
      </c>
    </row>
    <row r="380" spans="1:110"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c r="CX380">
        <f>SUM(F380:Q380)</f>
        <v>0</v>
      </c>
      <c r="CY380">
        <f>SUM(R380:AC380)</f>
        <v>0</v>
      </c>
      <c r="CZ380">
        <f>SUM(AD380:AO380)</f>
        <v>0</v>
      </c>
      <c r="DA380">
        <f>SUM(AP380:BA380)</f>
        <v>10638.439999999999</v>
      </c>
      <c r="DB380">
        <f>SUM(BB380:BM380)</f>
        <v>10600.11</v>
      </c>
      <c r="DC380">
        <f>SUM(BN380:BY380)</f>
        <v>0</v>
      </c>
      <c r="DD380">
        <f>SUM(BZ380:CK380)</f>
        <v>0</v>
      </c>
      <c r="DE380">
        <f>SUM(CL380:CW380)</f>
        <v>0</v>
      </c>
      <c r="DF380">
        <f>SUM(F380:CW380)</f>
        <v>21238.55</v>
      </c>
    </row>
    <row r="381" spans="1:110"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c r="CX381">
        <f>SUM(F381:Q381)</f>
        <v>0</v>
      </c>
      <c r="CY381">
        <f>SUM(R381:AC381)</f>
        <v>0</v>
      </c>
      <c r="CZ381">
        <f>SUM(AD381:AO381)</f>
        <v>0</v>
      </c>
      <c r="DA381">
        <f>SUM(AP381:BA381)</f>
        <v>0</v>
      </c>
      <c r="DB381">
        <f>SUM(BB381:BM381)</f>
        <v>0</v>
      </c>
      <c r="DC381">
        <f>SUM(BN381:BY381)</f>
        <v>0</v>
      </c>
      <c r="DD381">
        <f>SUM(BZ381:CK381)</f>
        <v>3312.96</v>
      </c>
      <c r="DE381">
        <f>SUM(CL381:CW381)</f>
        <v>617.35</v>
      </c>
      <c r="DF381">
        <f>SUM(F381:CW381)</f>
        <v>3930.31</v>
      </c>
    </row>
    <row r="382" spans="1:110"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c r="CX382">
        <f>SUM(F382:Q382)</f>
        <v>0</v>
      </c>
      <c r="CY382">
        <f>SUM(R382:AC382)</f>
        <v>3766.14</v>
      </c>
      <c r="CZ382">
        <f>SUM(AD382:AO382)</f>
        <v>491.6</v>
      </c>
      <c r="DA382">
        <f>SUM(AP382:BA382)</f>
        <v>0</v>
      </c>
      <c r="DB382">
        <f>SUM(BB382:BM382)</f>
        <v>0</v>
      </c>
      <c r="DC382">
        <f>SUM(BN382:BY382)</f>
        <v>0</v>
      </c>
      <c r="DD382">
        <f>SUM(BZ382:CK382)</f>
        <v>0</v>
      </c>
      <c r="DE382">
        <f>SUM(CL382:CW382)</f>
        <v>0</v>
      </c>
      <c r="DF382">
        <f>SUM(F382:CW382)</f>
        <v>4257.74</v>
      </c>
    </row>
    <row r="383" spans="1:110"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c r="CX383">
        <f>SUM(F383:Q383)</f>
        <v>0</v>
      </c>
      <c r="CY383">
        <f>SUM(R383:AC383)</f>
        <v>0</v>
      </c>
      <c r="CZ383">
        <f>SUM(AD383:AO383)</f>
        <v>577.19000000000005</v>
      </c>
      <c r="DA383">
        <f>SUM(AP383:BA383)</f>
        <v>1818.1800000000003</v>
      </c>
      <c r="DB383">
        <f>SUM(BB383:BM383)</f>
        <v>1722.1799999999998</v>
      </c>
      <c r="DC383">
        <f>SUM(BN383:BY383)</f>
        <v>0</v>
      </c>
      <c r="DD383">
        <f>SUM(BZ383:CK383)</f>
        <v>0</v>
      </c>
      <c r="DE383">
        <f>SUM(CL383:CW383)</f>
        <v>0</v>
      </c>
      <c r="DF383">
        <f>SUM(F383:CW383)</f>
        <v>4117.55</v>
      </c>
    </row>
    <row r="384" spans="1:110"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c r="CX384">
        <f>SUM(F384:Q384)</f>
        <v>0</v>
      </c>
      <c r="CY384">
        <f>SUM(R384:AC384)</f>
        <v>0</v>
      </c>
      <c r="CZ384">
        <f>SUM(AD384:AO384)</f>
        <v>9777.16</v>
      </c>
      <c r="DA384">
        <f>SUM(AP384:BA384)</f>
        <v>1155.19</v>
      </c>
      <c r="DB384">
        <f>SUM(BB384:BM384)</f>
        <v>0</v>
      </c>
      <c r="DC384">
        <f>SUM(BN384:BY384)</f>
        <v>0</v>
      </c>
      <c r="DD384">
        <f>SUM(BZ384:CK384)</f>
        <v>0</v>
      </c>
      <c r="DE384">
        <f>SUM(CL384:CW384)</f>
        <v>0</v>
      </c>
      <c r="DF384">
        <f>SUM(F384:CW384)</f>
        <v>10932.35</v>
      </c>
    </row>
    <row r="385" spans="1:110"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c r="CX385">
        <f>SUM(F385:Q385)</f>
        <v>0</v>
      </c>
      <c r="CY385">
        <f>SUM(R385:AC385)</f>
        <v>0</v>
      </c>
      <c r="CZ385">
        <f>SUM(AD385:AO385)</f>
        <v>0</v>
      </c>
      <c r="DA385">
        <f>SUM(AP385:BA385)</f>
        <v>3882.38</v>
      </c>
      <c r="DB385">
        <f>SUM(BB385:BM385)</f>
        <v>1877.65</v>
      </c>
      <c r="DC385">
        <f>SUM(BN385:BY385)</f>
        <v>0</v>
      </c>
      <c r="DD385">
        <f>SUM(BZ385:CK385)</f>
        <v>0</v>
      </c>
      <c r="DE385">
        <f>SUM(CL385:CW385)</f>
        <v>0</v>
      </c>
      <c r="DF385">
        <f>SUM(F385:CW385)</f>
        <v>5760.03</v>
      </c>
    </row>
    <row r="386" spans="1:110"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c r="CX386">
        <f>SUM(F386:Q386)</f>
        <v>0</v>
      </c>
      <c r="CY386">
        <f>SUM(R386:AC386)</f>
        <v>0</v>
      </c>
      <c r="CZ386">
        <f>SUM(AD386:AO386)</f>
        <v>0</v>
      </c>
      <c r="DA386">
        <f>SUM(AP386:BA386)</f>
        <v>0</v>
      </c>
      <c r="DB386">
        <f>SUM(BB386:BM386)</f>
        <v>5318.7400000000007</v>
      </c>
      <c r="DC386">
        <f>SUM(BN386:BY386)</f>
        <v>27294.630000000005</v>
      </c>
      <c r="DD386">
        <f>SUM(BZ386:CK386)</f>
        <v>1670.01</v>
      </c>
      <c r="DE386">
        <f>SUM(CL386:CW386)</f>
        <v>0</v>
      </c>
      <c r="DF386">
        <f>SUM(F386:CW386)</f>
        <v>34283.380000000005</v>
      </c>
    </row>
    <row r="387" spans="1:110"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c r="CX387">
        <f>SUM(F387:Q387)</f>
        <v>0</v>
      </c>
      <c r="CY387">
        <f>SUM(R387:AC387)</f>
        <v>0</v>
      </c>
      <c r="CZ387">
        <f>SUM(AD387:AO387)</f>
        <v>0</v>
      </c>
      <c r="DA387">
        <f>SUM(AP387:BA387)</f>
        <v>0</v>
      </c>
      <c r="DB387">
        <f>SUM(BB387:BM387)</f>
        <v>6590.01</v>
      </c>
      <c r="DC387">
        <f>SUM(BN387:BY387)</f>
        <v>0</v>
      </c>
      <c r="DD387">
        <f>SUM(BZ387:CK387)</f>
        <v>0</v>
      </c>
      <c r="DE387">
        <f>SUM(CL387:CW387)</f>
        <v>0</v>
      </c>
      <c r="DF387">
        <f>SUM(F387:CW387)</f>
        <v>6590.01</v>
      </c>
    </row>
    <row r="388" spans="1:110"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c r="CX388">
        <f>SUM(F388:Q388)</f>
        <v>0</v>
      </c>
      <c r="CY388">
        <f>SUM(R388:AC388)</f>
        <v>0</v>
      </c>
      <c r="CZ388">
        <f>SUM(AD388:AO388)</f>
        <v>0</v>
      </c>
      <c r="DA388">
        <f>SUM(AP388:BA388)</f>
        <v>0</v>
      </c>
      <c r="DB388">
        <f>SUM(BB388:BM388)</f>
        <v>0</v>
      </c>
      <c r="DC388">
        <f>SUM(BN388:BY388)</f>
        <v>0</v>
      </c>
      <c r="DD388">
        <f>SUM(BZ388:CK388)</f>
        <v>14651.500000000002</v>
      </c>
      <c r="DE388">
        <f>SUM(CL388:CW388)</f>
        <v>0</v>
      </c>
      <c r="DF388">
        <f>SUM(F388:CW388)</f>
        <v>14651.500000000002</v>
      </c>
    </row>
    <row r="389" spans="1:110"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c r="CX389">
        <f>SUM(F389:Q389)</f>
        <v>0</v>
      </c>
      <c r="CY389">
        <f>SUM(R389:AC389)</f>
        <v>0</v>
      </c>
      <c r="CZ389">
        <f>SUM(AD389:AO389)</f>
        <v>0</v>
      </c>
      <c r="DA389">
        <f>SUM(AP389:BA389)</f>
        <v>0</v>
      </c>
      <c r="DB389">
        <f>SUM(BB389:BM389)</f>
        <v>0</v>
      </c>
      <c r="DC389">
        <f>SUM(BN389:BY389)</f>
        <v>0</v>
      </c>
      <c r="DD389">
        <f>SUM(BZ389:CK389)</f>
        <v>2744.59</v>
      </c>
      <c r="DE389">
        <f>SUM(CL389:CW389)</f>
        <v>0</v>
      </c>
      <c r="DF389">
        <f>SUM(F389:CW389)</f>
        <v>2744.59</v>
      </c>
    </row>
    <row r="390" spans="1:110"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c r="CX390">
        <f>SUM(F390:Q390)</f>
        <v>368.54</v>
      </c>
      <c r="CY390">
        <f>SUM(R390:AC390)</f>
        <v>1506</v>
      </c>
      <c r="CZ390">
        <f>SUM(AD390:AO390)</f>
        <v>0</v>
      </c>
      <c r="DA390">
        <f>SUM(AP390:BA390)</f>
        <v>0</v>
      </c>
      <c r="DB390">
        <f>SUM(BB390:BM390)</f>
        <v>0</v>
      </c>
      <c r="DC390">
        <f>SUM(BN390:BY390)</f>
        <v>0</v>
      </c>
      <c r="DD390">
        <f>SUM(BZ390:CK390)</f>
        <v>0</v>
      </c>
      <c r="DE390">
        <f>SUM(CL390:CW390)</f>
        <v>0</v>
      </c>
      <c r="DF390">
        <f>SUM(F390:CW390)</f>
        <v>1874.54</v>
      </c>
    </row>
    <row r="391" spans="1:110"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c r="CX391">
        <f>SUM(F391:Q391)</f>
        <v>0</v>
      </c>
      <c r="CY391">
        <f>SUM(R391:AC391)</f>
        <v>0</v>
      </c>
      <c r="CZ391">
        <f>SUM(AD391:AO391)</f>
        <v>3283.88</v>
      </c>
      <c r="DA391">
        <f>SUM(AP391:BA391)</f>
        <v>0</v>
      </c>
      <c r="DB391">
        <f>SUM(BB391:BM391)</f>
        <v>0</v>
      </c>
      <c r="DC391">
        <f>SUM(BN391:BY391)</f>
        <v>0</v>
      </c>
      <c r="DD391">
        <f>SUM(BZ391:CK391)</f>
        <v>0</v>
      </c>
      <c r="DE391">
        <f>SUM(CL391:CW391)</f>
        <v>0</v>
      </c>
      <c r="DF391">
        <f>SUM(F391:CW391)</f>
        <v>3283.88</v>
      </c>
    </row>
    <row r="392" spans="1:110"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c r="CX392">
        <f>SUM(F392:Q392)</f>
        <v>0</v>
      </c>
      <c r="CY392">
        <f>SUM(R392:AC392)</f>
        <v>0</v>
      </c>
      <c r="CZ392">
        <f>SUM(AD392:AO392)</f>
        <v>0</v>
      </c>
      <c r="DA392">
        <f>SUM(AP392:BA392)</f>
        <v>0</v>
      </c>
      <c r="DB392">
        <f>SUM(BB392:BM392)</f>
        <v>0</v>
      </c>
      <c r="DC392">
        <f>SUM(BN392:BY392)</f>
        <v>0</v>
      </c>
      <c r="DD392">
        <f>SUM(BZ392:CK392)</f>
        <v>0</v>
      </c>
      <c r="DE392">
        <f>SUM(CL392:CW392)</f>
        <v>4274.13</v>
      </c>
      <c r="DF392">
        <f>SUM(F392:CW392)</f>
        <v>4274.13</v>
      </c>
    </row>
    <row r="393" spans="1:110"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c r="CX393">
        <f>SUM(F393:Q393)</f>
        <v>0</v>
      </c>
      <c r="CY393">
        <f>SUM(R393:AC393)</f>
        <v>0</v>
      </c>
      <c r="CZ393">
        <f>SUM(AD393:AO393)</f>
        <v>0</v>
      </c>
      <c r="DA393">
        <f>SUM(AP393:BA393)</f>
        <v>0</v>
      </c>
      <c r="DB393">
        <f>SUM(BB393:BM393)</f>
        <v>3478.0200000000004</v>
      </c>
      <c r="DC393">
        <f>SUM(BN393:BY393)</f>
        <v>4139.25</v>
      </c>
      <c r="DD393">
        <f>SUM(BZ393:CK393)</f>
        <v>0</v>
      </c>
      <c r="DE393">
        <f>SUM(CL393:CW393)</f>
        <v>0</v>
      </c>
      <c r="DF393">
        <f>SUM(F393:CW393)</f>
        <v>7617.27</v>
      </c>
    </row>
    <row r="394" spans="1:110"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c r="CX394">
        <f>SUM(F394:Q394)</f>
        <v>0</v>
      </c>
      <c r="CY394">
        <f>SUM(R394:AC394)</f>
        <v>0</v>
      </c>
      <c r="CZ394">
        <f>SUM(AD394:AO394)</f>
        <v>0</v>
      </c>
      <c r="DA394">
        <f>SUM(AP394:BA394)</f>
        <v>0</v>
      </c>
      <c r="DB394">
        <f>SUM(BB394:BM394)</f>
        <v>0</v>
      </c>
      <c r="DC394">
        <f>SUM(BN394:BY394)</f>
        <v>0</v>
      </c>
      <c r="DD394">
        <f>SUM(BZ394:CK394)</f>
        <v>0</v>
      </c>
      <c r="DE394">
        <f>SUM(CL394:CW394)</f>
        <v>1425.9</v>
      </c>
      <c r="DF394">
        <f>SUM(F394:CW394)</f>
        <v>1425.9</v>
      </c>
    </row>
    <row r="395" spans="1:110"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c r="CX395">
        <f>SUM(F395:Q395)</f>
        <v>0</v>
      </c>
      <c r="CY395">
        <f>SUM(R395:AC395)</f>
        <v>0</v>
      </c>
      <c r="CZ395">
        <f>SUM(AD395:AO395)</f>
        <v>7131.79</v>
      </c>
      <c r="DA395">
        <f>SUM(AP395:BA395)</f>
        <v>0</v>
      </c>
      <c r="DB395">
        <f>SUM(BB395:BM395)</f>
        <v>0</v>
      </c>
      <c r="DC395">
        <f>SUM(BN395:BY395)</f>
        <v>0</v>
      </c>
      <c r="DD395">
        <f>SUM(BZ395:CK395)</f>
        <v>0</v>
      </c>
      <c r="DE395">
        <f>SUM(CL395:CW395)</f>
        <v>0</v>
      </c>
      <c r="DF395">
        <f>SUM(F395:CW395)</f>
        <v>7131.79</v>
      </c>
    </row>
    <row r="396" spans="1:110"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c r="CX396">
        <f>SUM(F396:Q396)</f>
        <v>0</v>
      </c>
      <c r="CY396">
        <f>SUM(R396:AC396)</f>
        <v>0</v>
      </c>
      <c r="CZ396">
        <f>SUM(AD396:AO396)</f>
        <v>0</v>
      </c>
      <c r="DA396">
        <f>SUM(AP396:BA396)</f>
        <v>2156.85</v>
      </c>
      <c r="DB396">
        <f>SUM(BB396:BM396)</f>
        <v>0</v>
      </c>
      <c r="DC396">
        <f>SUM(BN396:BY396)</f>
        <v>0</v>
      </c>
      <c r="DD396">
        <f>SUM(BZ396:CK396)</f>
        <v>0</v>
      </c>
      <c r="DE396">
        <f>SUM(CL396:CW396)</f>
        <v>0</v>
      </c>
      <c r="DF396">
        <f>SUM(F396:CW396)</f>
        <v>2156.85</v>
      </c>
    </row>
    <row r="397" spans="1:110"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c r="CX397">
        <f>SUM(F397:Q397)</f>
        <v>0</v>
      </c>
      <c r="CY397">
        <f>SUM(R397:AC397)</f>
        <v>0</v>
      </c>
      <c r="CZ397">
        <f>SUM(AD397:AO397)</f>
        <v>11660.57</v>
      </c>
      <c r="DA397">
        <f>SUM(AP397:BA397)</f>
        <v>6303.6399999999994</v>
      </c>
      <c r="DB397">
        <f>SUM(BB397:BM397)</f>
        <v>0</v>
      </c>
      <c r="DC397">
        <f>SUM(BN397:BY397)</f>
        <v>0</v>
      </c>
      <c r="DD397">
        <f>SUM(BZ397:CK397)</f>
        <v>0</v>
      </c>
      <c r="DE397">
        <f>SUM(CL397:CW397)</f>
        <v>0</v>
      </c>
      <c r="DF397">
        <f>SUM(F397:CW397)</f>
        <v>17964.21</v>
      </c>
    </row>
    <row r="398" spans="1:110"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c r="CX398">
        <f>SUM(F398:Q398)</f>
        <v>0</v>
      </c>
      <c r="CY398">
        <f>SUM(R398:AC398)</f>
        <v>0</v>
      </c>
      <c r="CZ398">
        <f>SUM(AD398:AO398)</f>
        <v>0</v>
      </c>
      <c r="DA398">
        <f>SUM(AP398:BA398)</f>
        <v>0</v>
      </c>
      <c r="DB398">
        <f>SUM(BB398:BM398)</f>
        <v>0</v>
      </c>
      <c r="DC398">
        <f>SUM(BN398:BY398)</f>
        <v>0</v>
      </c>
      <c r="DD398">
        <f>SUM(BZ398:CK398)</f>
        <v>0</v>
      </c>
      <c r="DE398">
        <f>SUM(CL398:CW398)</f>
        <v>423.89</v>
      </c>
      <c r="DF398">
        <f>SUM(F398:CW398)</f>
        <v>423.89</v>
      </c>
    </row>
    <row r="399" spans="1:110"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c r="CX399">
        <f>SUM(F399:Q399)</f>
        <v>0</v>
      </c>
      <c r="CY399">
        <f>SUM(R399:AC399)</f>
        <v>0</v>
      </c>
      <c r="CZ399">
        <f>SUM(AD399:AO399)</f>
        <v>0</v>
      </c>
      <c r="DA399">
        <f>SUM(AP399:BA399)</f>
        <v>0</v>
      </c>
      <c r="DB399">
        <f>SUM(BB399:BM399)</f>
        <v>0</v>
      </c>
      <c r="DC399">
        <f>SUM(BN399:BY399)</f>
        <v>0</v>
      </c>
      <c r="DD399">
        <f>SUM(BZ399:CK399)</f>
        <v>2702.95</v>
      </c>
      <c r="DE399">
        <f>SUM(CL399:CW399)</f>
        <v>840.05</v>
      </c>
      <c r="DF399">
        <f>SUM(F399:CW399)</f>
        <v>3543</v>
      </c>
    </row>
    <row r="400" spans="1:110"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c r="CX400">
        <f>SUM(F400:Q400)</f>
        <v>0</v>
      </c>
      <c r="CY400">
        <f>SUM(R400:AC400)</f>
        <v>0</v>
      </c>
      <c r="CZ400">
        <f>SUM(AD400:AO400)</f>
        <v>6045.18</v>
      </c>
      <c r="DA400">
        <f>SUM(AP400:BA400)</f>
        <v>0</v>
      </c>
      <c r="DB400">
        <f>SUM(BB400:BM400)</f>
        <v>0</v>
      </c>
      <c r="DC400">
        <f>SUM(BN400:BY400)</f>
        <v>0</v>
      </c>
      <c r="DD400">
        <f>SUM(BZ400:CK400)</f>
        <v>0</v>
      </c>
      <c r="DE400">
        <f>SUM(CL400:CW400)</f>
        <v>0</v>
      </c>
      <c r="DF400">
        <f>SUM(F400:CW400)</f>
        <v>6045.18</v>
      </c>
    </row>
    <row r="401" spans="1:110"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c r="CX401">
        <f>SUM(F401:Q401)</f>
        <v>0</v>
      </c>
      <c r="CY401">
        <f>SUM(R401:AC401)</f>
        <v>0</v>
      </c>
      <c r="CZ401">
        <f>SUM(AD401:AO401)</f>
        <v>1733.04</v>
      </c>
      <c r="DA401">
        <f>SUM(AP401:BA401)</f>
        <v>7201.2499999999991</v>
      </c>
      <c r="DB401">
        <f>SUM(BB401:BM401)</f>
        <v>1218.43</v>
      </c>
      <c r="DC401">
        <f>SUM(BN401:BY401)</f>
        <v>0</v>
      </c>
      <c r="DD401">
        <f>SUM(BZ401:CK401)</f>
        <v>0</v>
      </c>
      <c r="DE401">
        <f>SUM(CL401:CW401)</f>
        <v>0</v>
      </c>
      <c r="DF401">
        <f>SUM(F401:CW401)</f>
        <v>10152.720000000001</v>
      </c>
    </row>
    <row r="402" spans="1:110"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c r="CX402">
        <f>SUM(F402:Q402)</f>
        <v>0</v>
      </c>
      <c r="CY402">
        <f>SUM(R402:AC402)</f>
        <v>0</v>
      </c>
      <c r="CZ402">
        <f>SUM(AD402:AO402)</f>
        <v>0</v>
      </c>
      <c r="DA402">
        <f>SUM(AP402:BA402)</f>
        <v>0</v>
      </c>
      <c r="DB402">
        <f>SUM(BB402:BM402)</f>
        <v>0</v>
      </c>
      <c r="DC402">
        <f>SUM(BN402:BY402)</f>
        <v>9921.15</v>
      </c>
      <c r="DD402">
        <f>SUM(BZ402:CK402)</f>
        <v>0</v>
      </c>
      <c r="DE402">
        <f>SUM(CL402:CW402)</f>
        <v>0</v>
      </c>
      <c r="DF402">
        <f>SUM(F402:CW402)</f>
        <v>9921.15</v>
      </c>
    </row>
    <row r="403" spans="1:110"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c r="CX403">
        <f>SUM(F403:Q403)</f>
        <v>0</v>
      </c>
      <c r="CY403">
        <f>SUM(R403:AC403)</f>
        <v>0</v>
      </c>
      <c r="CZ403">
        <f>SUM(AD403:AO403)</f>
        <v>0</v>
      </c>
      <c r="DA403">
        <f>SUM(AP403:BA403)</f>
        <v>0</v>
      </c>
      <c r="DB403">
        <f>SUM(BB403:BM403)</f>
        <v>0</v>
      </c>
      <c r="DC403">
        <f>SUM(BN403:BY403)</f>
        <v>8030.5999999999995</v>
      </c>
      <c r="DD403">
        <f>SUM(BZ403:CK403)</f>
        <v>0</v>
      </c>
      <c r="DE403">
        <f>SUM(CL403:CW403)</f>
        <v>0</v>
      </c>
      <c r="DF403">
        <f>SUM(F403:CW403)</f>
        <v>8030.5999999999995</v>
      </c>
    </row>
    <row r="404" spans="1:110"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c r="CX404">
        <f>SUM(F404:Q404)</f>
        <v>0</v>
      </c>
      <c r="CY404">
        <f>SUM(R404:AC404)</f>
        <v>0</v>
      </c>
      <c r="CZ404">
        <f>SUM(AD404:AO404)</f>
        <v>0</v>
      </c>
      <c r="DA404">
        <f>SUM(AP404:BA404)</f>
        <v>0</v>
      </c>
      <c r="DB404">
        <f>SUM(BB404:BM404)</f>
        <v>2841.88</v>
      </c>
      <c r="DC404">
        <f>SUM(BN404:BY404)</f>
        <v>9775.65</v>
      </c>
      <c r="DD404">
        <f>SUM(BZ404:CK404)</f>
        <v>3096.61</v>
      </c>
      <c r="DE404">
        <f>SUM(CL404:CW404)</f>
        <v>0</v>
      </c>
      <c r="DF404">
        <f>SUM(F404:CW404)</f>
        <v>15714.14</v>
      </c>
    </row>
    <row r="405" spans="1:110"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c r="CX405">
        <f>SUM(F405:Q405)</f>
        <v>0</v>
      </c>
      <c r="CY405">
        <f>SUM(R405:AC405)</f>
        <v>0</v>
      </c>
      <c r="CZ405">
        <f>SUM(AD405:AO405)</f>
        <v>0</v>
      </c>
      <c r="DA405">
        <f>SUM(AP405:BA405)</f>
        <v>0</v>
      </c>
      <c r="DB405">
        <f>SUM(BB405:BM405)</f>
        <v>200.93</v>
      </c>
      <c r="DC405">
        <f>SUM(BN405:BY405)</f>
        <v>990.57</v>
      </c>
      <c r="DD405">
        <f>SUM(BZ405:CK405)</f>
        <v>676.97</v>
      </c>
      <c r="DE405">
        <f>SUM(CL405:CW405)</f>
        <v>0</v>
      </c>
      <c r="DF405">
        <f>SUM(F405:CW405)</f>
        <v>1868.47</v>
      </c>
    </row>
    <row r="406" spans="1:110"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c r="CX406">
        <f>SUM(F406:Q406)</f>
        <v>6391.8</v>
      </c>
      <c r="CY406">
        <f>SUM(R406:AC406)</f>
        <v>7312.1299999999992</v>
      </c>
      <c r="CZ406">
        <f>SUM(AD406:AO406)</f>
        <v>4014.91</v>
      </c>
      <c r="DA406">
        <f>SUM(AP406:BA406)</f>
        <v>0</v>
      </c>
      <c r="DB406">
        <f>SUM(BB406:BM406)</f>
        <v>0</v>
      </c>
      <c r="DC406">
        <f>SUM(BN406:BY406)</f>
        <v>0</v>
      </c>
      <c r="DD406">
        <f>SUM(BZ406:CK406)</f>
        <v>0</v>
      </c>
      <c r="DE406">
        <f>SUM(CL406:CW406)</f>
        <v>0</v>
      </c>
      <c r="DF406">
        <f>SUM(F406:CW406)</f>
        <v>17718.84</v>
      </c>
    </row>
    <row r="407" spans="1:110"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c r="CX407">
        <f>SUM(F407:Q407)</f>
        <v>0</v>
      </c>
      <c r="CY407">
        <f>SUM(R407:AC407)</f>
        <v>0</v>
      </c>
      <c r="CZ407">
        <f>SUM(AD407:AO407)</f>
        <v>0</v>
      </c>
      <c r="DA407">
        <f>SUM(AP407:BA407)</f>
        <v>0</v>
      </c>
      <c r="DB407">
        <f>SUM(BB407:BM407)</f>
        <v>0</v>
      </c>
      <c r="DC407">
        <f>SUM(BN407:BY407)</f>
        <v>0</v>
      </c>
      <c r="DD407">
        <f>SUM(BZ407:CK407)</f>
        <v>8724.2800000000007</v>
      </c>
      <c r="DE407">
        <f>SUM(CL407:CW407)</f>
        <v>0</v>
      </c>
      <c r="DF407">
        <f>SUM(F407:CW407)</f>
        <v>8724.2800000000007</v>
      </c>
    </row>
    <row r="408" spans="1:110"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c r="CX408">
        <f>SUM(F408:Q408)</f>
        <v>0</v>
      </c>
      <c r="CY408">
        <f>SUM(R408:AC408)</f>
        <v>0</v>
      </c>
      <c r="CZ408">
        <f>SUM(AD408:AO408)</f>
        <v>0</v>
      </c>
      <c r="DA408">
        <f>SUM(AP408:BA408)</f>
        <v>0</v>
      </c>
      <c r="DB408">
        <f>SUM(BB408:BM408)</f>
        <v>0</v>
      </c>
      <c r="DC408">
        <f>SUM(BN408:BY408)</f>
        <v>5988.93</v>
      </c>
      <c r="DD408">
        <f>SUM(BZ408:CK408)</f>
        <v>0</v>
      </c>
      <c r="DE408">
        <f>SUM(CL408:CW408)</f>
        <v>0</v>
      </c>
      <c r="DF408">
        <f>SUM(F408:CW408)</f>
        <v>5988.93</v>
      </c>
    </row>
    <row r="409" spans="1:110"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c r="CX409">
        <f>SUM(F409:Q409)</f>
        <v>0</v>
      </c>
      <c r="CY409">
        <f>SUM(R409:AC409)</f>
        <v>0</v>
      </c>
      <c r="CZ409">
        <f>SUM(AD409:AO409)</f>
        <v>0</v>
      </c>
      <c r="DA409">
        <f>SUM(AP409:BA409)</f>
        <v>0</v>
      </c>
      <c r="DB409">
        <f>SUM(BB409:BM409)</f>
        <v>0</v>
      </c>
      <c r="DC409">
        <f>SUM(BN409:BY409)</f>
        <v>4251.8</v>
      </c>
      <c r="DD409">
        <f>SUM(BZ409:CK409)</f>
        <v>1679.61</v>
      </c>
      <c r="DE409">
        <f>SUM(CL409:CW409)</f>
        <v>0</v>
      </c>
      <c r="DF409">
        <f>SUM(F409:CW409)</f>
        <v>5931.41</v>
      </c>
    </row>
    <row r="410" spans="1:110"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c r="CX410">
        <f>SUM(F410:Q410)</f>
        <v>0</v>
      </c>
      <c r="CY410">
        <f>SUM(R410:AC410)</f>
        <v>0</v>
      </c>
      <c r="CZ410">
        <f>SUM(AD410:AO410)</f>
        <v>0</v>
      </c>
      <c r="DA410">
        <f>SUM(AP410:BA410)</f>
        <v>0</v>
      </c>
      <c r="DB410">
        <f>SUM(BB410:BM410)</f>
        <v>0</v>
      </c>
      <c r="DC410">
        <f>SUM(BN410:BY410)</f>
        <v>0</v>
      </c>
      <c r="DD410">
        <f>SUM(BZ410:CK410)</f>
        <v>0</v>
      </c>
      <c r="DE410">
        <f>SUM(CL410:CW410)</f>
        <v>2030.24</v>
      </c>
      <c r="DF410">
        <f>SUM(F410:CW410)</f>
        <v>2030.24</v>
      </c>
    </row>
    <row r="411" spans="1:110"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c r="CX411">
        <f>SUM(F411:Q411)</f>
        <v>0</v>
      </c>
      <c r="CY411">
        <f>SUM(R411:AC411)</f>
        <v>2282.4</v>
      </c>
      <c r="CZ411">
        <f>SUM(AD411:AO411)</f>
        <v>0</v>
      </c>
      <c r="DA411">
        <f>SUM(AP411:BA411)</f>
        <v>0</v>
      </c>
      <c r="DB411">
        <f>SUM(BB411:BM411)</f>
        <v>0</v>
      </c>
      <c r="DC411">
        <f>SUM(BN411:BY411)</f>
        <v>0</v>
      </c>
      <c r="DD411">
        <f>SUM(BZ411:CK411)</f>
        <v>0</v>
      </c>
      <c r="DE411">
        <f>SUM(CL411:CW411)</f>
        <v>0</v>
      </c>
      <c r="DF411">
        <f>SUM(F411:CW411)</f>
        <v>2282.4</v>
      </c>
    </row>
    <row r="412" spans="1:110"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c r="CX412">
        <f>SUM(F412:Q412)</f>
        <v>0</v>
      </c>
      <c r="CY412">
        <f>SUM(R412:AC412)</f>
        <v>0</v>
      </c>
      <c r="CZ412">
        <f>SUM(AD412:AO412)</f>
        <v>0</v>
      </c>
      <c r="DA412">
        <f>SUM(AP412:BA412)</f>
        <v>0</v>
      </c>
      <c r="DB412">
        <f>SUM(BB412:BM412)</f>
        <v>0</v>
      </c>
      <c r="DC412">
        <f>SUM(BN412:BY412)</f>
        <v>6991</v>
      </c>
      <c r="DD412">
        <f>SUM(BZ412:CK412)</f>
        <v>0</v>
      </c>
      <c r="DE412">
        <f>SUM(CL412:CW412)</f>
        <v>0</v>
      </c>
      <c r="DF412">
        <f>SUM(F412:CW412)</f>
        <v>6991</v>
      </c>
    </row>
    <row r="413" spans="1:110"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c r="CX413">
        <f>SUM(F413:Q413)</f>
        <v>0</v>
      </c>
      <c r="CY413">
        <f>SUM(R413:AC413)</f>
        <v>0</v>
      </c>
      <c r="CZ413">
        <f>SUM(AD413:AO413)</f>
        <v>0</v>
      </c>
      <c r="DA413">
        <f>SUM(AP413:BA413)</f>
        <v>0</v>
      </c>
      <c r="DB413">
        <f>SUM(BB413:BM413)</f>
        <v>0</v>
      </c>
      <c r="DC413">
        <f>SUM(BN413:BY413)</f>
        <v>6046</v>
      </c>
      <c r="DD413">
        <f>SUM(BZ413:CK413)</f>
        <v>128.13999999999999</v>
      </c>
      <c r="DE413">
        <f>SUM(CL413:CW413)</f>
        <v>0</v>
      </c>
      <c r="DF413">
        <f>SUM(F413:CW413)</f>
        <v>6174.14</v>
      </c>
    </row>
    <row r="414" spans="1:110"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c r="CX414">
        <f>SUM(F414:Q414)</f>
        <v>0</v>
      </c>
      <c r="CY414">
        <f>SUM(R414:AC414)</f>
        <v>0</v>
      </c>
      <c r="CZ414">
        <f>SUM(AD414:AO414)</f>
        <v>0</v>
      </c>
      <c r="DA414">
        <f>SUM(AP414:BA414)</f>
        <v>0</v>
      </c>
      <c r="DB414">
        <f>SUM(BB414:BM414)</f>
        <v>0</v>
      </c>
      <c r="DC414">
        <f>SUM(BN414:BY414)</f>
        <v>0</v>
      </c>
      <c r="DD414">
        <f>SUM(BZ414:CK414)</f>
        <v>7151.96</v>
      </c>
      <c r="DE414">
        <f>SUM(CL414:CW414)</f>
        <v>20675.72</v>
      </c>
      <c r="DF414">
        <f>SUM(F414:CW414)</f>
        <v>27827.68</v>
      </c>
    </row>
    <row r="415" spans="1:110"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c r="CX415">
        <f>SUM(F415:Q415)</f>
        <v>0</v>
      </c>
      <c r="CY415">
        <f>SUM(R415:AC415)</f>
        <v>0</v>
      </c>
      <c r="CZ415">
        <f>SUM(AD415:AO415)</f>
        <v>0</v>
      </c>
      <c r="DA415">
        <f>SUM(AP415:BA415)</f>
        <v>0</v>
      </c>
      <c r="DB415">
        <f>SUM(BB415:BM415)</f>
        <v>0</v>
      </c>
      <c r="DC415">
        <f>SUM(BN415:BY415)</f>
        <v>6910.4500000000007</v>
      </c>
      <c r="DD415">
        <f>SUM(BZ415:CK415)</f>
        <v>4266.3600000000006</v>
      </c>
      <c r="DE415">
        <f>SUM(CL415:CW415)</f>
        <v>0</v>
      </c>
      <c r="DF415">
        <f>SUM(F415:CW415)</f>
        <v>11176.810000000001</v>
      </c>
    </row>
    <row r="416" spans="1:110"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c r="CX416">
        <f>SUM(F416:Q416)</f>
        <v>0</v>
      </c>
      <c r="CY416">
        <f>SUM(R416:AC416)</f>
        <v>0</v>
      </c>
      <c r="CZ416">
        <f>SUM(AD416:AO416)</f>
        <v>0</v>
      </c>
      <c r="DA416">
        <f>SUM(AP416:BA416)</f>
        <v>0</v>
      </c>
      <c r="DB416">
        <f>SUM(BB416:BM416)</f>
        <v>0</v>
      </c>
      <c r="DC416">
        <f>SUM(BN416:BY416)</f>
        <v>0</v>
      </c>
      <c r="DD416">
        <f>SUM(BZ416:CK416)</f>
        <v>1345.01</v>
      </c>
      <c r="DE416">
        <f>SUM(CL416:CW416)</f>
        <v>0</v>
      </c>
      <c r="DF416">
        <f>SUM(F416:CW416)</f>
        <v>1345.01</v>
      </c>
    </row>
    <row r="417" spans="1:110"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c r="CX417">
        <f>SUM(F417:Q417)</f>
        <v>0</v>
      </c>
      <c r="CY417">
        <f>SUM(R417:AC417)</f>
        <v>0</v>
      </c>
      <c r="CZ417">
        <f>SUM(AD417:AO417)</f>
        <v>0</v>
      </c>
      <c r="DA417">
        <f>SUM(AP417:BA417)</f>
        <v>0</v>
      </c>
      <c r="DB417">
        <f>SUM(BB417:BM417)</f>
        <v>0</v>
      </c>
      <c r="DC417">
        <f>SUM(BN417:BY417)</f>
        <v>2734.1800000000003</v>
      </c>
      <c r="DD417">
        <f>SUM(BZ417:CK417)</f>
        <v>14774.519999999999</v>
      </c>
      <c r="DE417">
        <f>SUM(CL417:CW417)</f>
        <v>4932.42</v>
      </c>
      <c r="DF417">
        <f>SUM(F417:CW417)</f>
        <v>22441.119999999999</v>
      </c>
    </row>
    <row r="418" spans="1:110"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c r="CX418">
        <f>SUM(F418:Q418)</f>
        <v>0</v>
      </c>
      <c r="CY418">
        <f>SUM(R418:AC418)</f>
        <v>0</v>
      </c>
      <c r="CZ418">
        <f>SUM(AD418:AO418)</f>
        <v>0</v>
      </c>
      <c r="DA418">
        <f>SUM(AP418:BA418)</f>
        <v>20306.240000000002</v>
      </c>
      <c r="DB418">
        <f>SUM(BB418:BM418)</f>
        <v>8256.5399999999991</v>
      </c>
      <c r="DC418">
        <f>SUM(BN418:BY418)</f>
        <v>2860.09</v>
      </c>
      <c r="DD418">
        <f>SUM(BZ418:CK418)</f>
        <v>0</v>
      </c>
      <c r="DE418">
        <f>SUM(CL418:CW418)</f>
        <v>0</v>
      </c>
      <c r="DF418">
        <f>SUM(F418:CW418)</f>
        <v>31422.87</v>
      </c>
    </row>
    <row r="419" spans="1:110"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c r="CX419">
        <f>SUM(F419:Q419)</f>
        <v>0</v>
      </c>
      <c r="CY419">
        <f>SUM(R419:AC419)</f>
        <v>0</v>
      </c>
      <c r="CZ419">
        <f>SUM(AD419:AO419)</f>
        <v>1425.38</v>
      </c>
      <c r="DA419">
        <f>SUM(AP419:BA419)</f>
        <v>92.25</v>
      </c>
      <c r="DB419">
        <f>SUM(BB419:BM419)</f>
        <v>0</v>
      </c>
      <c r="DC419">
        <f>SUM(BN419:BY419)</f>
        <v>0</v>
      </c>
      <c r="DD419">
        <f>SUM(BZ419:CK419)</f>
        <v>0</v>
      </c>
      <c r="DE419">
        <f>SUM(CL419:CW419)</f>
        <v>0</v>
      </c>
      <c r="DF419">
        <f>SUM(F419:CW419)</f>
        <v>1517.63</v>
      </c>
    </row>
    <row r="420" spans="1:110"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c r="CX420">
        <f>SUM(F420:Q420)</f>
        <v>1337.17</v>
      </c>
      <c r="CY420">
        <f>SUM(R420:AC420)</f>
        <v>8760.3499999999985</v>
      </c>
      <c r="CZ420">
        <f>SUM(AD420:AO420)</f>
        <v>5213.5200000000004</v>
      </c>
      <c r="DA420">
        <f>SUM(AP420:BA420)</f>
        <v>1323.57</v>
      </c>
      <c r="DB420">
        <f>SUM(BB420:BM420)</f>
        <v>0</v>
      </c>
      <c r="DC420">
        <f>SUM(BN420:BY420)</f>
        <v>0</v>
      </c>
      <c r="DD420">
        <f>SUM(BZ420:CK420)</f>
        <v>0</v>
      </c>
      <c r="DE420">
        <f>SUM(CL420:CW420)</f>
        <v>0</v>
      </c>
      <c r="DF420">
        <f>SUM(F420:CW420)</f>
        <v>16634.61</v>
      </c>
    </row>
    <row r="421" spans="1:110"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c r="CX421">
        <f>SUM(F421:Q421)</f>
        <v>0</v>
      </c>
      <c r="CY421">
        <f>SUM(R421:AC421)</f>
        <v>0</v>
      </c>
      <c r="CZ421">
        <f>SUM(AD421:AO421)</f>
        <v>0</v>
      </c>
      <c r="DA421">
        <f>SUM(AP421:BA421)</f>
        <v>0</v>
      </c>
      <c r="DB421">
        <f>SUM(BB421:BM421)</f>
        <v>0</v>
      </c>
      <c r="DC421">
        <f>SUM(BN421:BY421)</f>
        <v>1702.9700000000003</v>
      </c>
      <c r="DD421">
        <f>SUM(BZ421:CK421)</f>
        <v>0</v>
      </c>
      <c r="DE421">
        <f>SUM(CL421:CW421)</f>
        <v>0</v>
      </c>
      <c r="DF421">
        <f>SUM(F421:CW421)</f>
        <v>1702.9700000000003</v>
      </c>
    </row>
    <row r="422" spans="1:110"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c r="CX422">
        <f>SUM(F422:Q422)</f>
        <v>0</v>
      </c>
      <c r="CY422">
        <f>SUM(R422:AC422)</f>
        <v>0</v>
      </c>
      <c r="CZ422">
        <f>SUM(AD422:AO422)</f>
        <v>0</v>
      </c>
      <c r="DA422">
        <f>SUM(AP422:BA422)</f>
        <v>0</v>
      </c>
      <c r="DB422">
        <f>SUM(BB422:BM422)</f>
        <v>0</v>
      </c>
      <c r="DC422">
        <f>SUM(BN422:BY422)</f>
        <v>5380.52</v>
      </c>
      <c r="DD422">
        <f>SUM(BZ422:CK422)</f>
        <v>0</v>
      </c>
      <c r="DE422">
        <f>SUM(CL422:CW422)</f>
        <v>0</v>
      </c>
      <c r="DF422">
        <f>SUM(F422:CW422)</f>
        <v>5380.52</v>
      </c>
    </row>
    <row r="423" spans="1:110"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c r="CX423">
        <f>SUM(F423:Q423)</f>
        <v>0</v>
      </c>
      <c r="CY423">
        <f>SUM(R423:AC423)</f>
        <v>0</v>
      </c>
      <c r="CZ423">
        <f>SUM(AD423:AO423)</f>
        <v>0</v>
      </c>
      <c r="DA423">
        <f>SUM(AP423:BA423)</f>
        <v>2666.56</v>
      </c>
      <c r="DB423">
        <f>SUM(BB423:BM423)</f>
        <v>2740.21</v>
      </c>
      <c r="DC423">
        <f>SUM(BN423:BY423)</f>
        <v>0</v>
      </c>
      <c r="DD423">
        <f>SUM(BZ423:CK423)</f>
        <v>0</v>
      </c>
      <c r="DE423">
        <f>SUM(CL423:CW423)</f>
        <v>0</v>
      </c>
      <c r="DF423">
        <f>SUM(F423:CW423)</f>
        <v>5406.77</v>
      </c>
    </row>
    <row r="424" spans="1:110"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c r="CX424">
        <f>SUM(F424:Q424)</f>
        <v>0</v>
      </c>
      <c r="CY424">
        <f>SUM(R424:AC424)</f>
        <v>0</v>
      </c>
      <c r="CZ424">
        <f>SUM(AD424:AO424)</f>
        <v>0</v>
      </c>
      <c r="DA424">
        <f>SUM(AP424:BA424)</f>
        <v>4102.0600000000004</v>
      </c>
      <c r="DB424">
        <f>SUM(BB424:BM424)</f>
        <v>4803.12</v>
      </c>
      <c r="DC424">
        <f>SUM(BN424:BY424)</f>
        <v>1380.04</v>
      </c>
      <c r="DD424">
        <f>SUM(BZ424:CK424)</f>
        <v>0</v>
      </c>
      <c r="DE424">
        <f>SUM(CL424:CW424)</f>
        <v>0</v>
      </c>
      <c r="DF424">
        <f>SUM(F424:CW424)</f>
        <v>10285.220000000001</v>
      </c>
    </row>
    <row r="425" spans="1:110"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c r="CX425">
        <f>SUM(F425:Q425)</f>
        <v>0</v>
      </c>
      <c r="CY425">
        <f>SUM(R425:AC425)</f>
        <v>0</v>
      </c>
      <c r="CZ425">
        <f>SUM(AD425:AO425)</f>
        <v>0</v>
      </c>
      <c r="DA425">
        <f>SUM(AP425:BA425)</f>
        <v>0</v>
      </c>
      <c r="DB425">
        <f>SUM(BB425:BM425)</f>
        <v>0</v>
      </c>
      <c r="DC425">
        <f>SUM(BN425:BY425)</f>
        <v>0</v>
      </c>
      <c r="DD425">
        <f>SUM(BZ425:CK425)</f>
        <v>0</v>
      </c>
      <c r="DE425">
        <f>SUM(CL425:CW425)</f>
        <v>4741.68</v>
      </c>
      <c r="DF425">
        <f>SUM(F425:CW425)</f>
        <v>4741.68</v>
      </c>
    </row>
    <row r="426" spans="1:110"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c r="CX426">
        <f>SUM(F426:Q426)</f>
        <v>0</v>
      </c>
      <c r="CY426">
        <f>SUM(R426:AC426)</f>
        <v>0</v>
      </c>
      <c r="CZ426">
        <f>SUM(AD426:AO426)</f>
        <v>4678.55</v>
      </c>
      <c r="DA426">
        <f>SUM(AP426:BA426)</f>
        <v>808.26</v>
      </c>
      <c r="DB426">
        <f>SUM(BB426:BM426)</f>
        <v>0</v>
      </c>
      <c r="DC426">
        <f>SUM(BN426:BY426)</f>
        <v>0</v>
      </c>
      <c r="DD426">
        <f>SUM(BZ426:CK426)</f>
        <v>0</v>
      </c>
      <c r="DE426">
        <f>SUM(CL426:CW426)</f>
        <v>0</v>
      </c>
      <c r="DF426">
        <f>SUM(F426:CW426)</f>
        <v>5486.81</v>
      </c>
    </row>
    <row r="427" spans="1:110"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c r="CX427">
        <f>SUM(F427:Q427)</f>
        <v>0</v>
      </c>
      <c r="CY427">
        <f>SUM(R427:AC427)</f>
        <v>0</v>
      </c>
      <c r="CZ427">
        <f>SUM(AD427:AO427)</f>
        <v>0</v>
      </c>
      <c r="DA427">
        <f>SUM(AP427:BA427)</f>
        <v>0</v>
      </c>
      <c r="DB427">
        <f>SUM(BB427:BM427)</f>
        <v>0</v>
      </c>
      <c r="DC427">
        <f>SUM(BN427:BY427)</f>
        <v>0</v>
      </c>
      <c r="DD427">
        <f>SUM(BZ427:CK427)</f>
        <v>8342.36</v>
      </c>
      <c r="DE427">
        <f>SUM(CL427:CW427)</f>
        <v>2702.05</v>
      </c>
      <c r="DF427">
        <f>SUM(F427:CW427)</f>
        <v>11044.41</v>
      </c>
    </row>
    <row r="428" spans="1:110"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c r="CX428">
        <f>SUM(F428:Q428)</f>
        <v>0</v>
      </c>
      <c r="CY428">
        <f>SUM(R428:AC428)</f>
        <v>0</v>
      </c>
      <c r="CZ428">
        <f>SUM(AD428:AO428)</f>
        <v>0</v>
      </c>
      <c r="DA428">
        <f>SUM(AP428:BA428)</f>
        <v>0</v>
      </c>
      <c r="DB428">
        <f>SUM(BB428:BM428)</f>
        <v>734.91</v>
      </c>
      <c r="DC428">
        <f>SUM(BN428:BY428)</f>
        <v>2586.2200000000003</v>
      </c>
      <c r="DD428">
        <f>SUM(BZ428:CK428)</f>
        <v>0</v>
      </c>
      <c r="DE428">
        <f>SUM(CL428:CW428)</f>
        <v>0</v>
      </c>
      <c r="DF428">
        <f>SUM(F428:CW428)</f>
        <v>3321.13</v>
      </c>
    </row>
    <row r="429" spans="1:110"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c r="CX429">
        <f>SUM(F429:Q429)</f>
        <v>0</v>
      </c>
      <c r="CY429">
        <f>SUM(R429:AC429)</f>
        <v>0</v>
      </c>
      <c r="CZ429">
        <f>SUM(AD429:AO429)</f>
        <v>0</v>
      </c>
      <c r="DA429">
        <f>SUM(AP429:BA429)</f>
        <v>0</v>
      </c>
      <c r="DB429">
        <f>SUM(BB429:BM429)</f>
        <v>0</v>
      </c>
      <c r="DC429">
        <f>SUM(BN429:BY429)</f>
        <v>0</v>
      </c>
      <c r="DD429">
        <f>SUM(BZ429:CK429)</f>
        <v>0</v>
      </c>
      <c r="DE429">
        <f>SUM(CL429:CW429)</f>
        <v>3612.76</v>
      </c>
      <c r="DF429">
        <f>SUM(F429:CW429)</f>
        <v>3612.76</v>
      </c>
    </row>
    <row r="430" spans="1:110"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c r="CX430">
        <f>SUM(F430:Q430)</f>
        <v>0</v>
      </c>
      <c r="CY430">
        <f>SUM(R430:AC430)</f>
        <v>0</v>
      </c>
      <c r="CZ430">
        <f>SUM(AD430:AO430)</f>
        <v>0</v>
      </c>
      <c r="DA430">
        <f>SUM(AP430:BA430)</f>
        <v>0</v>
      </c>
      <c r="DB430">
        <f>SUM(BB430:BM430)</f>
        <v>0</v>
      </c>
      <c r="DC430">
        <f>SUM(BN430:BY430)</f>
        <v>0</v>
      </c>
      <c r="DD430">
        <f>SUM(BZ430:CK430)</f>
        <v>4598.7</v>
      </c>
      <c r="DE430">
        <f>SUM(CL430:CW430)</f>
        <v>0</v>
      </c>
      <c r="DF430">
        <f>SUM(F430:CW430)</f>
        <v>4598.7</v>
      </c>
    </row>
    <row r="431" spans="1:110"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c r="CX431">
        <f>SUM(F431:Q431)</f>
        <v>0</v>
      </c>
      <c r="CY431">
        <f>SUM(R431:AC431)</f>
        <v>0</v>
      </c>
      <c r="CZ431">
        <f>SUM(AD431:AO431)</f>
        <v>0</v>
      </c>
      <c r="DA431">
        <f>SUM(AP431:BA431)</f>
        <v>0</v>
      </c>
      <c r="DB431">
        <f>SUM(BB431:BM431)</f>
        <v>30.1</v>
      </c>
      <c r="DC431">
        <f>SUM(BN431:BY431)</f>
        <v>2408.7800000000002</v>
      </c>
      <c r="DD431">
        <f>SUM(BZ431:CK431)</f>
        <v>527.29</v>
      </c>
      <c r="DE431">
        <f>SUM(CL431:CW431)</f>
        <v>0</v>
      </c>
      <c r="DF431">
        <f>SUM(F431:CW431)</f>
        <v>2966.17</v>
      </c>
    </row>
    <row r="432" spans="1:110"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c r="CX432">
        <f>SUM(F432:Q432)</f>
        <v>0</v>
      </c>
      <c r="CY432">
        <f>SUM(R432:AC432)</f>
        <v>0</v>
      </c>
      <c r="CZ432">
        <f>SUM(AD432:AO432)</f>
        <v>0</v>
      </c>
      <c r="DA432">
        <f>SUM(AP432:BA432)</f>
        <v>0</v>
      </c>
      <c r="DB432">
        <f>SUM(BB432:BM432)</f>
        <v>0</v>
      </c>
      <c r="DC432">
        <f>SUM(BN432:BY432)</f>
        <v>6732.0499999999993</v>
      </c>
      <c r="DD432">
        <f>SUM(BZ432:CK432)</f>
        <v>0</v>
      </c>
      <c r="DE432">
        <f>SUM(CL432:CW432)</f>
        <v>0</v>
      </c>
      <c r="DF432">
        <f>SUM(F432:CW432)</f>
        <v>6732.0499999999993</v>
      </c>
    </row>
    <row r="433" spans="1:110"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c r="CX433">
        <f>SUM(F433:Q433)</f>
        <v>0</v>
      </c>
      <c r="CY433">
        <f>SUM(R433:AC433)</f>
        <v>0</v>
      </c>
      <c r="CZ433">
        <f>SUM(AD433:AO433)</f>
        <v>0</v>
      </c>
      <c r="DA433">
        <f>SUM(AP433:BA433)</f>
        <v>10535.62</v>
      </c>
      <c r="DB433">
        <f>SUM(BB433:BM433)</f>
        <v>0</v>
      </c>
      <c r="DC433">
        <f>SUM(BN433:BY433)</f>
        <v>0</v>
      </c>
      <c r="DD433">
        <f>SUM(BZ433:CK433)</f>
        <v>0</v>
      </c>
      <c r="DE433">
        <f>SUM(CL433:CW433)</f>
        <v>0</v>
      </c>
      <c r="DF433">
        <f>SUM(F433:CW433)</f>
        <v>10535.62</v>
      </c>
    </row>
    <row r="434" spans="1:110"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c r="CX434">
        <f>SUM(F434:Q434)</f>
        <v>4988</v>
      </c>
      <c r="CY434">
        <f>SUM(R434:AC434)</f>
        <v>0</v>
      </c>
      <c r="CZ434">
        <f>SUM(AD434:AO434)</f>
        <v>0</v>
      </c>
      <c r="DA434">
        <f>SUM(AP434:BA434)</f>
        <v>0</v>
      </c>
      <c r="DB434">
        <f>SUM(BB434:BM434)</f>
        <v>0</v>
      </c>
      <c r="DC434">
        <f>SUM(BN434:BY434)</f>
        <v>0</v>
      </c>
      <c r="DD434">
        <f>SUM(BZ434:CK434)</f>
        <v>0</v>
      </c>
      <c r="DE434">
        <f>SUM(CL434:CW434)</f>
        <v>0</v>
      </c>
      <c r="DF434">
        <f>SUM(F434:CW434)</f>
        <v>4988</v>
      </c>
    </row>
    <row r="435" spans="1:110"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c r="CX435">
        <f>SUM(F435:Q435)</f>
        <v>0</v>
      </c>
      <c r="CY435">
        <f>SUM(R435:AC435)</f>
        <v>0</v>
      </c>
      <c r="CZ435">
        <f>SUM(AD435:AO435)</f>
        <v>0</v>
      </c>
      <c r="DA435">
        <f>SUM(AP435:BA435)</f>
        <v>0</v>
      </c>
      <c r="DB435">
        <f>SUM(BB435:BM435)</f>
        <v>2158.04</v>
      </c>
      <c r="DC435">
        <f>SUM(BN435:BY435)</f>
        <v>0</v>
      </c>
      <c r="DD435">
        <f>SUM(BZ435:CK435)</f>
        <v>0</v>
      </c>
      <c r="DE435">
        <f>SUM(CL435:CW435)</f>
        <v>0</v>
      </c>
      <c r="DF435">
        <f>SUM(F435:CW435)</f>
        <v>2158.04</v>
      </c>
    </row>
    <row r="436" spans="1:110"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c r="CX436">
        <f>SUM(F436:Q436)</f>
        <v>0</v>
      </c>
      <c r="CY436">
        <f>SUM(R436:AC436)</f>
        <v>0</v>
      </c>
      <c r="CZ436">
        <f>SUM(AD436:AO436)</f>
        <v>0</v>
      </c>
      <c r="DA436">
        <f>SUM(AP436:BA436)</f>
        <v>0</v>
      </c>
      <c r="DB436">
        <f>SUM(BB436:BM436)</f>
        <v>4415.3900000000003</v>
      </c>
      <c r="DC436">
        <f>SUM(BN436:BY436)</f>
        <v>0</v>
      </c>
      <c r="DD436">
        <f>SUM(BZ436:CK436)</f>
        <v>0</v>
      </c>
      <c r="DE436">
        <f>SUM(CL436:CW436)</f>
        <v>0</v>
      </c>
      <c r="DF436">
        <f>SUM(F436:CW436)</f>
        <v>4415.3900000000003</v>
      </c>
    </row>
    <row r="437" spans="1:110"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c r="CX437">
        <f>SUM(F437:Q437)</f>
        <v>0</v>
      </c>
      <c r="CY437">
        <f>SUM(R437:AC437)</f>
        <v>0</v>
      </c>
      <c r="CZ437">
        <f>SUM(AD437:AO437)</f>
        <v>0</v>
      </c>
      <c r="DA437">
        <f>SUM(AP437:BA437)</f>
        <v>0</v>
      </c>
      <c r="DB437">
        <f>SUM(BB437:BM437)</f>
        <v>1052.4099999999999</v>
      </c>
      <c r="DC437">
        <f>SUM(BN437:BY437)</f>
        <v>1203.3800000000001</v>
      </c>
      <c r="DD437">
        <f>SUM(BZ437:CK437)</f>
        <v>0</v>
      </c>
      <c r="DE437">
        <f>SUM(CL437:CW437)</f>
        <v>0</v>
      </c>
      <c r="DF437">
        <f>SUM(F437:CW437)</f>
        <v>2255.79</v>
      </c>
    </row>
    <row r="438" spans="1:110"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c r="CX438">
        <f>SUM(F438:Q438)</f>
        <v>0</v>
      </c>
      <c r="CY438">
        <f>SUM(R438:AC438)</f>
        <v>0</v>
      </c>
      <c r="CZ438">
        <f>SUM(AD438:AO438)</f>
        <v>6110.0300000000007</v>
      </c>
      <c r="DA438">
        <f>SUM(AP438:BA438)</f>
        <v>0</v>
      </c>
      <c r="DB438">
        <f>SUM(BB438:BM438)</f>
        <v>0</v>
      </c>
      <c r="DC438">
        <f>SUM(BN438:BY438)</f>
        <v>0</v>
      </c>
      <c r="DD438">
        <f>SUM(BZ438:CK438)</f>
        <v>0</v>
      </c>
      <c r="DE438">
        <f>SUM(CL438:CW438)</f>
        <v>0</v>
      </c>
      <c r="DF438">
        <f>SUM(F438:CW438)</f>
        <v>6110.0300000000007</v>
      </c>
    </row>
    <row r="439" spans="1:110"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c r="CX439">
        <f>SUM(F439:Q439)</f>
        <v>0</v>
      </c>
      <c r="CY439">
        <f>SUM(R439:AC439)</f>
        <v>0</v>
      </c>
      <c r="CZ439">
        <f>SUM(AD439:AO439)</f>
        <v>0</v>
      </c>
      <c r="DA439">
        <f>SUM(AP439:BA439)</f>
        <v>0</v>
      </c>
      <c r="DB439">
        <f>SUM(BB439:BM439)</f>
        <v>7078.59</v>
      </c>
      <c r="DC439">
        <f>SUM(BN439:BY439)</f>
        <v>0</v>
      </c>
      <c r="DD439">
        <f>SUM(BZ439:CK439)</f>
        <v>0</v>
      </c>
      <c r="DE439">
        <f>SUM(CL439:CW439)</f>
        <v>0</v>
      </c>
      <c r="DF439">
        <f>SUM(F439:CW439)</f>
        <v>7078.59</v>
      </c>
    </row>
    <row r="440" spans="1:110"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c r="CX440">
        <f>SUM(F440:Q440)</f>
        <v>0</v>
      </c>
      <c r="CY440">
        <f>SUM(R440:AC440)</f>
        <v>0</v>
      </c>
      <c r="CZ440">
        <f>SUM(AD440:AO440)</f>
        <v>0</v>
      </c>
      <c r="DA440">
        <f>SUM(AP440:BA440)</f>
        <v>0</v>
      </c>
      <c r="DB440">
        <f>SUM(BB440:BM440)</f>
        <v>0</v>
      </c>
      <c r="DC440">
        <f>SUM(BN440:BY440)</f>
        <v>0</v>
      </c>
      <c r="DD440">
        <f>SUM(BZ440:CK440)</f>
        <v>0</v>
      </c>
      <c r="DE440">
        <f>SUM(CL440:CW440)</f>
        <v>5562.66</v>
      </c>
      <c r="DF440">
        <f>SUM(F440:CW440)</f>
        <v>5562.66</v>
      </c>
    </row>
    <row r="441" spans="1:110"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c r="CX441">
        <f>SUM(F441:Q441)</f>
        <v>0</v>
      </c>
      <c r="CY441">
        <f>SUM(R441:AC441)</f>
        <v>0</v>
      </c>
      <c r="CZ441">
        <f>SUM(AD441:AO441)</f>
        <v>0</v>
      </c>
      <c r="DA441">
        <f>SUM(AP441:BA441)</f>
        <v>0</v>
      </c>
      <c r="DB441">
        <f>SUM(BB441:BM441)</f>
        <v>4081.82</v>
      </c>
      <c r="DC441">
        <f>SUM(BN441:BY441)</f>
        <v>0</v>
      </c>
      <c r="DD441">
        <f>SUM(BZ441:CK441)</f>
        <v>0</v>
      </c>
      <c r="DE441">
        <f>SUM(CL441:CW441)</f>
        <v>0</v>
      </c>
      <c r="DF441">
        <f>SUM(F441:CW441)</f>
        <v>4081.82</v>
      </c>
    </row>
    <row r="442" spans="1:110"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c r="CX442">
        <f>SUM(F442:Q442)</f>
        <v>0</v>
      </c>
      <c r="CY442">
        <f>SUM(R442:AC442)</f>
        <v>0</v>
      </c>
      <c r="CZ442">
        <f>SUM(AD442:AO442)</f>
        <v>3395.93</v>
      </c>
      <c r="DA442">
        <f>SUM(AP442:BA442)</f>
        <v>0</v>
      </c>
      <c r="DB442">
        <f>SUM(BB442:BM442)</f>
        <v>0</v>
      </c>
      <c r="DC442">
        <f>SUM(BN442:BY442)</f>
        <v>0</v>
      </c>
      <c r="DD442">
        <f>SUM(BZ442:CK442)</f>
        <v>0</v>
      </c>
      <c r="DE442">
        <f>SUM(CL442:CW442)</f>
        <v>0</v>
      </c>
      <c r="DF442">
        <f>SUM(F442:CW442)</f>
        <v>3395.93</v>
      </c>
    </row>
    <row r="443" spans="1:110"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c r="CX443">
        <f>SUM(F443:Q443)</f>
        <v>0</v>
      </c>
      <c r="CY443">
        <f>SUM(R443:AC443)</f>
        <v>0</v>
      </c>
      <c r="CZ443">
        <f>SUM(AD443:AO443)</f>
        <v>0</v>
      </c>
      <c r="DA443">
        <f>SUM(AP443:BA443)</f>
        <v>0</v>
      </c>
      <c r="DB443">
        <f>SUM(BB443:BM443)</f>
        <v>0</v>
      </c>
      <c r="DC443">
        <f>SUM(BN443:BY443)</f>
        <v>0</v>
      </c>
      <c r="DD443">
        <f>SUM(BZ443:CK443)</f>
        <v>1279.93</v>
      </c>
      <c r="DE443">
        <f>SUM(CL443:CW443)</f>
        <v>4265.82</v>
      </c>
      <c r="DF443">
        <f>SUM(F443:CW443)</f>
        <v>5545.75</v>
      </c>
    </row>
    <row r="444" spans="1:110"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c r="CX444">
        <f>SUM(F444:Q444)</f>
        <v>0</v>
      </c>
      <c r="CY444">
        <f>SUM(R444:AC444)</f>
        <v>0</v>
      </c>
      <c r="CZ444">
        <f>SUM(AD444:AO444)</f>
        <v>0</v>
      </c>
      <c r="DA444">
        <f>SUM(AP444:BA444)</f>
        <v>0</v>
      </c>
      <c r="DB444">
        <f>SUM(BB444:BM444)</f>
        <v>0</v>
      </c>
      <c r="DC444">
        <f>SUM(BN444:BY444)</f>
        <v>0</v>
      </c>
      <c r="DD444">
        <f>SUM(BZ444:CK444)</f>
        <v>7016.79</v>
      </c>
      <c r="DE444">
        <f>SUM(CL444:CW444)</f>
        <v>0</v>
      </c>
      <c r="DF444">
        <f>SUM(F444:CW444)</f>
        <v>7016.79</v>
      </c>
    </row>
    <row r="445" spans="1:110"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c r="CX445">
        <f>SUM(F445:Q445)</f>
        <v>0</v>
      </c>
      <c r="CY445">
        <f>SUM(R445:AC445)</f>
        <v>0</v>
      </c>
      <c r="CZ445">
        <f>SUM(AD445:AO445)</f>
        <v>0</v>
      </c>
      <c r="DA445">
        <f>SUM(AP445:BA445)</f>
        <v>1317.08</v>
      </c>
      <c r="DB445">
        <f>SUM(BB445:BM445)</f>
        <v>2332.4499999999998</v>
      </c>
      <c r="DC445">
        <f>SUM(BN445:BY445)</f>
        <v>312.7</v>
      </c>
      <c r="DD445">
        <f>SUM(BZ445:CK445)</f>
        <v>0</v>
      </c>
      <c r="DE445">
        <f>SUM(CL445:CW445)</f>
        <v>0</v>
      </c>
      <c r="DF445">
        <f>SUM(F445:CW445)</f>
        <v>3962.2299999999996</v>
      </c>
    </row>
    <row r="446" spans="1:110"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c r="CX446">
        <f>SUM(F446:Q446)</f>
        <v>0</v>
      </c>
      <c r="CY446">
        <f>SUM(R446:AC446)</f>
        <v>0</v>
      </c>
      <c r="CZ446">
        <f>SUM(AD446:AO446)</f>
        <v>0</v>
      </c>
      <c r="DA446">
        <f>SUM(AP446:BA446)</f>
        <v>0</v>
      </c>
      <c r="DB446">
        <f>SUM(BB446:BM446)</f>
        <v>0</v>
      </c>
      <c r="DC446">
        <f>SUM(BN446:BY446)</f>
        <v>0</v>
      </c>
      <c r="DD446">
        <f>SUM(BZ446:CK446)</f>
        <v>0</v>
      </c>
      <c r="DE446">
        <f>SUM(CL446:CW446)</f>
        <v>4224.17</v>
      </c>
      <c r="DF446">
        <f>SUM(F446:CW446)</f>
        <v>4224.17</v>
      </c>
    </row>
    <row r="447" spans="1:110"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c r="CX447">
        <f>SUM(F447:Q447)</f>
        <v>0</v>
      </c>
      <c r="CY447">
        <f>SUM(R447:AC447)</f>
        <v>0</v>
      </c>
      <c r="CZ447">
        <f>SUM(AD447:AO447)</f>
        <v>0</v>
      </c>
      <c r="DA447">
        <f>SUM(AP447:BA447)</f>
        <v>0</v>
      </c>
      <c r="DB447">
        <f>SUM(BB447:BM447)</f>
        <v>3142.05</v>
      </c>
      <c r="DC447">
        <f>SUM(BN447:BY447)</f>
        <v>6381.2000000000007</v>
      </c>
      <c r="DD447">
        <f>SUM(BZ447:CK447)</f>
        <v>2140.96</v>
      </c>
      <c r="DE447">
        <f>SUM(CL447:CW447)</f>
        <v>0</v>
      </c>
      <c r="DF447">
        <f>SUM(F447:CW447)</f>
        <v>11664.210000000001</v>
      </c>
    </row>
    <row r="448" spans="1:110"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c r="CX448">
        <f>SUM(F448:Q448)</f>
        <v>0</v>
      </c>
      <c r="CY448">
        <f>SUM(R448:AC448)</f>
        <v>0</v>
      </c>
      <c r="CZ448">
        <f>SUM(AD448:AO448)</f>
        <v>6315.95</v>
      </c>
      <c r="DA448">
        <f>SUM(AP448:BA448)</f>
        <v>4458.78</v>
      </c>
      <c r="DB448">
        <f>SUM(BB448:BM448)</f>
        <v>1202.72</v>
      </c>
      <c r="DC448">
        <f>SUM(BN448:BY448)</f>
        <v>0</v>
      </c>
      <c r="DD448">
        <f>SUM(BZ448:CK448)</f>
        <v>0</v>
      </c>
      <c r="DE448">
        <f>SUM(CL448:CW448)</f>
        <v>0</v>
      </c>
      <c r="DF448">
        <f>SUM(F448:CW448)</f>
        <v>11977.449999999999</v>
      </c>
    </row>
    <row r="449" spans="1:110"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c r="CX449">
        <f>SUM(F449:Q449)</f>
        <v>0</v>
      </c>
      <c r="CY449">
        <f>SUM(R449:AC449)</f>
        <v>0</v>
      </c>
      <c r="CZ449">
        <f>SUM(AD449:AO449)</f>
        <v>0</v>
      </c>
      <c r="DA449">
        <f>SUM(AP449:BA449)</f>
        <v>0</v>
      </c>
      <c r="DB449">
        <f>SUM(BB449:BM449)</f>
        <v>3539.21</v>
      </c>
      <c r="DC449">
        <f>SUM(BN449:BY449)</f>
        <v>1828.4</v>
      </c>
      <c r="DD449">
        <f>SUM(BZ449:CK449)</f>
        <v>0</v>
      </c>
      <c r="DE449">
        <f>SUM(CL449:CW449)</f>
        <v>0</v>
      </c>
      <c r="DF449">
        <f>SUM(F449:CW449)</f>
        <v>5367.61</v>
      </c>
    </row>
    <row r="450" spans="1:110"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c r="CX450">
        <f>SUM(F450:Q450)</f>
        <v>0</v>
      </c>
      <c r="CY450">
        <f>SUM(R450:AC450)</f>
        <v>0</v>
      </c>
      <c r="CZ450">
        <f>SUM(AD450:AO450)</f>
        <v>0</v>
      </c>
      <c r="DA450">
        <f>SUM(AP450:BA450)</f>
        <v>0</v>
      </c>
      <c r="DB450">
        <f>SUM(BB450:BM450)</f>
        <v>0</v>
      </c>
      <c r="DC450">
        <f>SUM(BN450:BY450)</f>
        <v>0</v>
      </c>
      <c r="DD450">
        <f>SUM(BZ450:CK450)</f>
        <v>0</v>
      </c>
      <c r="DE450">
        <f>SUM(CL450:CW450)</f>
        <v>9193.7900000000009</v>
      </c>
      <c r="DF450">
        <f>SUM(F450:CW450)</f>
        <v>9193.7900000000009</v>
      </c>
    </row>
    <row r="451" spans="1:110"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c r="CX451">
        <f>SUM(F451:Q451)</f>
        <v>0</v>
      </c>
      <c r="CY451">
        <f>SUM(R451:AC451)</f>
        <v>0</v>
      </c>
      <c r="CZ451">
        <f>SUM(AD451:AO451)</f>
        <v>0</v>
      </c>
      <c r="DA451">
        <f>SUM(AP451:BA451)</f>
        <v>0</v>
      </c>
      <c r="DB451">
        <f>SUM(BB451:BM451)</f>
        <v>3205.19</v>
      </c>
      <c r="DC451">
        <f>SUM(BN451:BY451)</f>
        <v>4055.96</v>
      </c>
      <c r="DD451">
        <f>SUM(BZ451:CK451)</f>
        <v>0</v>
      </c>
      <c r="DE451">
        <f>SUM(CL451:CW451)</f>
        <v>0</v>
      </c>
      <c r="DF451">
        <f>SUM(F451:CW451)</f>
        <v>7261.15</v>
      </c>
    </row>
    <row r="452" spans="1:110"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c r="CX452">
        <f>SUM(F452:Q452)</f>
        <v>0</v>
      </c>
      <c r="CY452">
        <f>SUM(R452:AC452)</f>
        <v>4807.09</v>
      </c>
      <c r="CZ452">
        <f>SUM(AD452:AO452)</f>
        <v>0</v>
      </c>
      <c r="DA452">
        <f>SUM(AP452:BA452)</f>
        <v>0</v>
      </c>
      <c r="DB452">
        <f>SUM(BB452:BM452)</f>
        <v>0</v>
      </c>
      <c r="DC452">
        <f>SUM(BN452:BY452)</f>
        <v>0</v>
      </c>
      <c r="DD452">
        <f>SUM(BZ452:CK452)</f>
        <v>0</v>
      </c>
      <c r="DE452">
        <f t="shared" ref="DE452:DE499" si="0">SUM(CL452:CW452)</f>
        <v>0</v>
      </c>
      <c r="DF452">
        <f>SUM(F452:CW452)</f>
        <v>4807.09</v>
      </c>
    </row>
    <row r="453" spans="1:110"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c r="CX453">
        <f>SUM(F453:Q453)</f>
        <v>0</v>
      </c>
      <c r="CY453">
        <f>SUM(R453:AC453)</f>
        <v>0</v>
      </c>
      <c r="CZ453">
        <f>SUM(AD453:AO453)</f>
        <v>0</v>
      </c>
      <c r="DA453">
        <f>SUM(AP453:BA453)</f>
        <v>0</v>
      </c>
      <c r="DB453">
        <f>SUM(BB453:BM453)</f>
        <v>0</v>
      </c>
      <c r="DC453">
        <f>SUM(BN453:BY453)</f>
        <v>8749.15</v>
      </c>
      <c r="DD453">
        <f>SUM(BZ453:CK453)</f>
        <v>0</v>
      </c>
      <c r="DE453">
        <f t="shared" si="0"/>
        <v>0</v>
      </c>
      <c r="DF453">
        <f>SUM(F453:CW453)</f>
        <v>8749.15</v>
      </c>
    </row>
    <row r="454" spans="1:110"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c r="CX454">
        <f>SUM(F454:Q454)</f>
        <v>0</v>
      </c>
      <c r="CY454">
        <f>SUM(R454:AC454)</f>
        <v>9749.51</v>
      </c>
      <c r="CZ454">
        <f>SUM(AD454:AO454)</f>
        <v>0</v>
      </c>
      <c r="DA454">
        <f>SUM(AP454:BA454)</f>
        <v>0</v>
      </c>
      <c r="DB454">
        <f>SUM(BB454:BM454)</f>
        <v>0</v>
      </c>
      <c r="DC454">
        <f>SUM(BN454:BY454)</f>
        <v>0</v>
      </c>
      <c r="DD454">
        <f>SUM(BZ454:CK454)</f>
        <v>0</v>
      </c>
      <c r="DE454">
        <f t="shared" si="0"/>
        <v>0</v>
      </c>
      <c r="DF454">
        <f>SUM(F454:CW454)</f>
        <v>9749.51</v>
      </c>
    </row>
    <row r="455" spans="1:110"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c r="CX455">
        <f>SUM(F455:Q455)</f>
        <v>0</v>
      </c>
      <c r="CY455">
        <f>SUM(R455:AC455)</f>
        <v>0</v>
      </c>
      <c r="CZ455">
        <f>SUM(AD455:AO455)</f>
        <v>0</v>
      </c>
      <c r="DA455">
        <f>SUM(AP455:BA455)</f>
        <v>6947.73</v>
      </c>
      <c r="DB455">
        <f>SUM(BB455:BM455)</f>
        <v>1648.54</v>
      </c>
      <c r="DC455">
        <f>SUM(BN455:BY455)</f>
        <v>0</v>
      </c>
      <c r="DD455">
        <f>SUM(BZ455:CK455)</f>
        <v>0</v>
      </c>
      <c r="DE455">
        <f t="shared" si="0"/>
        <v>0</v>
      </c>
      <c r="DF455">
        <f>SUM(F455:CW455)</f>
        <v>8596.27</v>
      </c>
    </row>
    <row r="456" spans="1:110"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c r="CX456">
        <f>SUM(F456:Q456)</f>
        <v>0</v>
      </c>
      <c r="CY456">
        <f>SUM(R456:AC456)</f>
        <v>0</v>
      </c>
      <c r="CZ456">
        <f>SUM(AD456:AO456)</f>
        <v>0</v>
      </c>
      <c r="DA456">
        <f>SUM(AP456:BA456)</f>
        <v>0</v>
      </c>
      <c r="DB456">
        <f>SUM(BB456:BM456)</f>
        <v>0</v>
      </c>
      <c r="DC456">
        <f>SUM(BN456:BY456)</f>
        <v>0</v>
      </c>
      <c r="DD456">
        <f>SUM(BZ456:CK456)</f>
        <v>2038.96</v>
      </c>
      <c r="DE456">
        <f t="shared" si="0"/>
        <v>102.48</v>
      </c>
      <c r="DF456">
        <f>SUM(F456:CW456)</f>
        <v>2141.44</v>
      </c>
    </row>
    <row r="457" spans="1:110"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c r="CX457">
        <f>SUM(F457:Q457)</f>
        <v>8371.369999999999</v>
      </c>
      <c r="CY457">
        <f>SUM(R457:AC457)</f>
        <v>0</v>
      </c>
      <c r="CZ457">
        <f>SUM(AD457:AO457)</f>
        <v>0</v>
      </c>
      <c r="DA457">
        <f>SUM(AP457:BA457)</f>
        <v>0</v>
      </c>
      <c r="DB457">
        <f>SUM(BB457:BM457)</f>
        <v>0</v>
      </c>
      <c r="DC457">
        <f>SUM(BN457:BY457)</f>
        <v>0</v>
      </c>
      <c r="DD457">
        <f>SUM(BZ457:CK457)</f>
        <v>0</v>
      </c>
      <c r="DE457">
        <f t="shared" si="0"/>
        <v>0</v>
      </c>
      <c r="DF457">
        <f>SUM(F457:CW457)</f>
        <v>8371.369999999999</v>
      </c>
    </row>
    <row r="458" spans="1:110"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c r="CX458">
        <f>SUM(F458:Q458)</f>
        <v>0</v>
      </c>
      <c r="CY458">
        <f>SUM(R458:AC458)</f>
        <v>0</v>
      </c>
      <c r="CZ458">
        <f>SUM(AD458:AO458)</f>
        <v>5781.18</v>
      </c>
      <c r="DA458">
        <f>SUM(AP458:BA458)</f>
        <v>7065.72</v>
      </c>
      <c r="DB458">
        <f>SUM(BB458:BM458)</f>
        <v>0</v>
      </c>
      <c r="DC458">
        <f>SUM(BN458:BY458)</f>
        <v>0</v>
      </c>
      <c r="DD458">
        <f>SUM(BZ458:CK458)</f>
        <v>0</v>
      </c>
      <c r="DE458">
        <f t="shared" si="0"/>
        <v>0</v>
      </c>
      <c r="DF458">
        <f>SUM(F458:CW458)</f>
        <v>12846.9</v>
      </c>
    </row>
    <row r="459" spans="1:110"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c r="CX459">
        <f>SUM(F459:Q459)</f>
        <v>0</v>
      </c>
      <c r="CY459">
        <f>SUM(R459:AC459)</f>
        <v>0</v>
      </c>
      <c r="CZ459">
        <f>SUM(AD459:AO459)</f>
        <v>0</v>
      </c>
      <c r="DA459">
        <f>SUM(AP459:BA459)</f>
        <v>9420.9500000000007</v>
      </c>
      <c r="DB459">
        <f>SUM(BB459:BM459)</f>
        <v>0</v>
      </c>
      <c r="DC459">
        <f>SUM(BN459:BY459)</f>
        <v>0</v>
      </c>
      <c r="DD459">
        <f>SUM(BZ459:CK459)</f>
        <v>0</v>
      </c>
      <c r="DE459">
        <f t="shared" si="0"/>
        <v>0</v>
      </c>
      <c r="DF459">
        <f>SUM(F459:CW459)</f>
        <v>9420.9500000000007</v>
      </c>
    </row>
    <row r="460" spans="1:110"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c r="CX460">
        <f>SUM(F460:Q460)</f>
        <v>2296.21</v>
      </c>
      <c r="CY460">
        <f>SUM(R460:AC460)</f>
        <v>771.46</v>
      </c>
      <c r="CZ460">
        <f>SUM(AD460:AO460)</f>
        <v>278.70999999999998</v>
      </c>
      <c r="DA460">
        <f>SUM(AP460:BA460)</f>
        <v>0</v>
      </c>
      <c r="DB460">
        <f>SUM(BB460:BM460)</f>
        <v>0</v>
      </c>
      <c r="DC460">
        <f>SUM(BN460:BY460)</f>
        <v>0</v>
      </c>
      <c r="DD460">
        <f>SUM(BZ460:CK460)</f>
        <v>0</v>
      </c>
      <c r="DE460">
        <f t="shared" si="0"/>
        <v>0</v>
      </c>
      <c r="DF460">
        <f>SUM(F460:CW460)</f>
        <v>3346.38</v>
      </c>
    </row>
    <row r="461" spans="1:110"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c r="CX461">
        <f>SUM(F461:Q461)</f>
        <v>0</v>
      </c>
      <c r="CY461">
        <f>SUM(R461:AC461)</f>
        <v>0</v>
      </c>
      <c r="CZ461">
        <f>SUM(AD461:AO461)</f>
        <v>1114.05</v>
      </c>
      <c r="DA461">
        <f>SUM(AP461:BA461)</f>
        <v>10020.849999999999</v>
      </c>
      <c r="DB461">
        <f>SUM(BB461:BM461)</f>
        <v>3209.02</v>
      </c>
      <c r="DC461">
        <f>SUM(BN461:BY461)</f>
        <v>0</v>
      </c>
      <c r="DD461">
        <f>SUM(BZ461:CK461)</f>
        <v>0</v>
      </c>
      <c r="DE461">
        <f t="shared" si="0"/>
        <v>0</v>
      </c>
      <c r="DF461">
        <f>SUM(F461:CW461)</f>
        <v>14343.919999999996</v>
      </c>
    </row>
    <row r="462" spans="1:110"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c r="CX462">
        <f>SUM(F462:Q462)</f>
        <v>0</v>
      </c>
      <c r="CY462">
        <f>SUM(R462:AC462)</f>
        <v>0</v>
      </c>
      <c r="CZ462">
        <f>SUM(AD462:AO462)</f>
        <v>792.14</v>
      </c>
      <c r="DA462">
        <f>SUM(AP462:BA462)</f>
        <v>2873.5</v>
      </c>
      <c r="DB462">
        <f>SUM(BB462:BM462)</f>
        <v>0</v>
      </c>
      <c r="DC462">
        <f>SUM(BN462:BY462)</f>
        <v>0</v>
      </c>
      <c r="DD462">
        <f>SUM(BZ462:CK462)</f>
        <v>0</v>
      </c>
      <c r="DE462">
        <f t="shared" si="0"/>
        <v>0</v>
      </c>
      <c r="DF462">
        <f>SUM(F462:CW462)</f>
        <v>3665.64</v>
      </c>
    </row>
    <row r="463" spans="1:110"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c r="CX463">
        <f>SUM(F463:Q463)</f>
        <v>0</v>
      </c>
      <c r="CY463">
        <f>SUM(R463:AC463)</f>
        <v>0</v>
      </c>
      <c r="CZ463">
        <f>SUM(AD463:AO463)</f>
        <v>0</v>
      </c>
      <c r="DA463">
        <f>SUM(AP463:BA463)</f>
        <v>0</v>
      </c>
      <c r="DB463">
        <f>SUM(BB463:BM463)</f>
        <v>5180</v>
      </c>
      <c r="DC463">
        <f>SUM(BN463:BY463)</f>
        <v>0</v>
      </c>
      <c r="DD463">
        <f>SUM(BZ463:CK463)</f>
        <v>0</v>
      </c>
      <c r="DE463">
        <f t="shared" si="0"/>
        <v>0</v>
      </c>
      <c r="DF463">
        <f>SUM(F463:CW463)</f>
        <v>5180</v>
      </c>
    </row>
    <row r="464" spans="1:110"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c r="CX464">
        <f>SUM(F464:Q464)</f>
        <v>0</v>
      </c>
      <c r="CY464">
        <f>SUM(R464:AC464)</f>
        <v>0</v>
      </c>
      <c r="CZ464">
        <f>SUM(AD464:AO464)</f>
        <v>0</v>
      </c>
      <c r="DA464">
        <f>SUM(AP464:BA464)</f>
        <v>2868.36</v>
      </c>
      <c r="DB464">
        <f>SUM(BB464:BM464)</f>
        <v>0</v>
      </c>
      <c r="DC464">
        <f>SUM(BN464:BY464)</f>
        <v>0</v>
      </c>
      <c r="DD464">
        <f>SUM(BZ464:CK464)</f>
        <v>0</v>
      </c>
      <c r="DE464">
        <f t="shared" si="0"/>
        <v>0</v>
      </c>
      <c r="DF464">
        <f>SUM(F464:CW464)</f>
        <v>2868.36</v>
      </c>
    </row>
    <row r="465" spans="1:110"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c r="CX465">
        <f>SUM(F465:Q465)</f>
        <v>0</v>
      </c>
      <c r="CY465">
        <f>SUM(R465:AC465)</f>
        <v>0</v>
      </c>
      <c r="CZ465">
        <f>SUM(AD465:AO465)</f>
        <v>0</v>
      </c>
      <c r="DA465">
        <f>SUM(AP465:BA465)</f>
        <v>2737.66</v>
      </c>
      <c r="DB465">
        <f>SUM(BB465:BM465)</f>
        <v>12859.279999999999</v>
      </c>
      <c r="DC465">
        <f>SUM(BN465:BY465)</f>
        <v>5483.3600000000006</v>
      </c>
      <c r="DD465">
        <f>SUM(BZ465:CK465)</f>
        <v>0</v>
      </c>
      <c r="DE465">
        <f t="shared" si="0"/>
        <v>0</v>
      </c>
      <c r="DF465">
        <f>SUM(F465:CW465)</f>
        <v>21080.3</v>
      </c>
    </row>
    <row r="466" spans="1:110"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c r="CX466">
        <f>SUM(F466:Q466)</f>
        <v>0</v>
      </c>
      <c r="CY466">
        <f>SUM(R466:AC466)</f>
        <v>0</v>
      </c>
      <c r="CZ466">
        <f>SUM(AD466:AO466)</f>
        <v>0</v>
      </c>
      <c r="DA466">
        <f>SUM(AP466:BA466)</f>
        <v>0</v>
      </c>
      <c r="DB466">
        <f>SUM(BB466:BM466)</f>
        <v>3414.69</v>
      </c>
      <c r="DC466">
        <f>SUM(BN466:BY466)</f>
        <v>0</v>
      </c>
      <c r="DD466">
        <f>SUM(BZ466:CK466)</f>
        <v>0</v>
      </c>
      <c r="DE466">
        <f t="shared" si="0"/>
        <v>0</v>
      </c>
      <c r="DF466">
        <f>SUM(F466:CW466)</f>
        <v>3414.69</v>
      </c>
    </row>
    <row r="467" spans="1:110"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c r="CX467">
        <f>SUM(F467:Q467)</f>
        <v>0</v>
      </c>
      <c r="CY467">
        <f>SUM(R467:AC467)</f>
        <v>0</v>
      </c>
      <c r="CZ467">
        <f>SUM(AD467:AO467)</f>
        <v>0</v>
      </c>
      <c r="DA467">
        <f>SUM(AP467:BA467)</f>
        <v>0</v>
      </c>
      <c r="DB467">
        <f>SUM(BB467:BM467)</f>
        <v>0</v>
      </c>
      <c r="DC467">
        <f>SUM(BN467:BY467)</f>
        <v>0</v>
      </c>
      <c r="DD467">
        <f>SUM(BZ467:CK467)</f>
        <v>1871.85</v>
      </c>
      <c r="DE467">
        <f t="shared" si="0"/>
        <v>1785.89</v>
      </c>
      <c r="DF467">
        <f>SUM(F467:CW467)</f>
        <v>3657.7400000000002</v>
      </c>
    </row>
    <row r="468" spans="1:110"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c r="CX468">
        <f>SUM(F468:Q468)</f>
        <v>0</v>
      </c>
      <c r="CY468">
        <f>SUM(R468:AC468)</f>
        <v>4320.9400000000005</v>
      </c>
      <c r="CZ468">
        <f>SUM(AD468:AO468)</f>
        <v>0</v>
      </c>
      <c r="DA468">
        <f>SUM(AP468:BA468)</f>
        <v>0</v>
      </c>
      <c r="DB468">
        <f>SUM(BB468:BM468)</f>
        <v>0</v>
      </c>
      <c r="DC468">
        <f>SUM(BN468:BY468)</f>
        <v>0</v>
      </c>
      <c r="DD468">
        <f>SUM(BZ468:CK468)</f>
        <v>0</v>
      </c>
      <c r="DE468">
        <f t="shared" si="0"/>
        <v>0</v>
      </c>
      <c r="DF468">
        <f>SUM(F468:CW468)</f>
        <v>4320.9400000000005</v>
      </c>
    </row>
    <row r="469" spans="1:110"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c r="CX469">
        <f>SUM(F469:Q469)</f>
        <v>0</v>
      </c>
      <c r="CY469">
        <f>SUM(R469:AC469)</f>
        <v>0</v>
      </c>
      <c r="CZ469">
        <f>SUM(AD469:AO469)</f>
        <v>0</v>
      </c>
      <c r="DA469">
        <f>SUM(AP469:BA469)</f>
        <v>1950.4</v>
      </c>
      <c r="DB469">
        <f>SUM(BB469:BM469)</f>
        <v>7559.67</v>
      </c>
      <c r="DC469">
        <f>SUM(BN469:BY469)</f>
        <v>959.94</v>
      </c>
      <c r="DD469">
        <f>SUM(BZ469:CK469)</f>
        <v>0</v>
      </c>
      <c r="DE469">
        <f t="shared" si="0"/>
        <v>0</v>
      </c>
      <c r="DF469">
        <f>SUM(F469:CW469)</f>
        <v>10470.01</v>
      </c>
    </row>
    <row r="470" spans="1:110"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c r="CX470">
        <f>SUM(F470:Q470)</f>
        <v>0</v>
      </c>
      <c r="CY470">
        <f>SUM(R470:AC470)</f>
        <v>7711</v>
      </c>
      <c r="CZ470">
        <f>SUM(AD470:AO470)</f>
        <v>7373.5199999999995</v>
      </c>
      <c r="DA470">
        <f>SUM(AP470:BA470)</f>
        <v>0</v>
      </c>
      <c r="DB470">
        <f>SUM(BB470:BM470)</f>
        <v>0</v>
      </c>
      <c r="DC470">
        <f>SUM(BN470:BY470)</f>
        <v>0</v>
      </c>
      <c r="DD470">
        <f>SUM(BZ470:CK470)</f>
        <v>0</v>
      </c>
      <c r="DE470">
        <f t="shared" si="0"/>
        <v>0</v>
      </c>
      <c r="DF470">
        <f>SUM(F470:CW470)</f>
        <v>15084.52</v>
      </c>
    </row>
    <row r="471" spans="1:110"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c r="CX471">
        <f>SUM(F471:Q471)</f>
        <v>0</v>
      </c>
      <c r="CY471">
        <f>SUM(R471:AC471)</f>
        <v>529.81999999999994</v>
      </c>
      <c r="CZ471">
        <f>SUM(AD471:AO471)</f>
        <v>540.63</v>
      </c>
      <c r="DA471">
        <f>SUM(AP471:BA471)</f>
        <v>0</v>
      </c>
      <c r="DB471">
        <f>SUM(BB471:BM471)</f>
        <v>0</v>
      </c>
      <c r="DC471">
        <f>SUM(BN471:BY471)</f>
        <v>0</v>
      </c>
      <c r="DD471">
        <f>SUM(BZ471:CK471)</f>
        <v>0</v>
      </c>
      <c r="DE471">
        <f t="shared" si="0"/>
        <v>0</v>
      </c>
      <c r="DF471">
        <f>SUM(F471:CW471)</f>
        <v>1070.4499999999998</v>
      </c>
    </row>
    <row r="472" spans="1:110"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c r="CX472">
        <f>SUM(F472:Q472)</f>
        <v>0</v>
      </c>
      <c r="CY472">
        <f>SUM(R472:AC472)</f>
        <v>0</v>
      </c>
      <c r="CZ472">
        <f>SUM(AD472:AO472)</f>
        <v>0</v>
      </c>
      <c r="DA472">
        <f>SUM(AP472:BA472)</f>
        <v>0</v>
      </c>
      <c r="DB472">
        <f>SUM(BB472:BM472)</f>
        <v>0</v>
      </c>
      <c r="DC472">
        <f>SUM(BN472:BY472)</f>
        <v>0</v>
      </c>
      <c r="DD472">
        <f>SUM(BZ472:CK472)</f>
        <v>0</v>
      </c>
      <c r="DE472">
        <f t="shared" si="0"/>
        <v>354.83</v>
      </c>
      <c r="DF472">
        <f>SUM(F472:CW472)</f>
        <v>354.83</v>
      </c>
    </row>
    <row r="473" spans="1:110"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c r="CX473">
        <f>SUM(F473:Q473)</f>
        <v>0</v>
      </c>
      <c r="CY473">
        <f>SUM(R473:AC473)</f>
        <v>0</v>
      </c>
      <c r="CZ473">
        <f>SUM(AD473:AO473)</f>
        <v>0</v>
      </c>
      <c r="DA473">
        <f>SUM(AP473:BA473)</f>
        <v>0</v>
      </c>
      <c r="DB473">
        <f>SUM(BB473:BM473)</f>
        <v>1433.79</v>
      </c>
      <c r="DC473">
        <f>SUM(BN473:BY473)</f>
        <v>0</v>
      </c>
      <c r="DD473">
        <f>SUM(BZ473:CK473)</f>
        <v>0</v>
      </c>
      <c r="DE473">
        <f t="shared" si="0"/>
        <v>0</v>
      </c>
      <c r="DF473">
        <f>SUM(F473:CW473)</f>
        <v>1433.79</v>
      </c>
    </row>
    <row r="474" spans="1:110"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c r="CX474">
        <f>SUM(F474:Q474)</f>
        <v>0</v>
      </c>
      <c r="CY474">
        <f>SUM(R474:AC474)</f>
        <v>0</v>
      </c>
      <c r="CZ474">
        <f>SUM(AD474:AO474)</f>
        <v>0</v>
      </c>
      <c r="DA474">
        <f>SUM(AP474:BA474)</f>
        <v>0</v>
      </c>
      <c r="DB474">
        <f>SUM(BB474:BM474)</f>
        <v>7728.5</v>
      </c>
      <c r="DC474">
        <f>SUM(BN474:BY474)</f>
        <v>4654.04</v>
      </c>
      <c r="DD474">
        <f>SUM(BZ474:CK474)</f>
        <v>472.26</v>
      </c>
      <c r="DE474">
        <f t="shared" si="0"/>
        <v>0</v>
      </c>
      <c r="DF474">
        <f>SUM(F474:CW474)</f>
        <v>12854.8</v>
      </c>
    </row>
    <row r="475" spans="1:110"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c r="CX475">
        <f>SUM(F475:Q475)</f>
        <v>0</v>
      </c>
      <c r="CY475">
        <f>SUM(R475:AC475)</f>
        <v>0</v>
      </c>
      <c r="CZ475">
        <f>SUM(AD475:AO475)</f>
        <v>0</v>
      </c>
      <c r="DA475">
        <f>SUM(AP475:BA475)</f>
        <v>0</v>
      </c>
      <c r="DB475">
        <f>SUM(BB475:BM475)</f>
        <v>1186.21</v>
      </c>
      <c r="DC475">
        <f>SUM(BN475:BY475)</f>
        <v>1608.44</v>
      </c>
      <c r="DD475">
        <f>SUM(BZ475:CK475)</f>
        <v>0</v>
      </c>
      <c r="DE475">
        <f t="shared" si="0"/>
        <v>0</v>
      </c>
      <c r="DF475">
        <f>SUM(F475:CW475)</f>
        <v>2794.6500000000005</v>
      </c>
    </row>
    <row r="476" spans="1:110"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c r="CX476">
        <f>SUM(F476:Q476)</f>
        <v>0</v>
      </c>
      <c r="CY476">
        <f>SUM(R476:AC476)</f>
        <v>0</v>
      </c>
      <c r="CZ476">
        <f>SUM(AD476:AO476)</f>
        <v>0</v>
      </c>
      <c r="DA476">
        <f>SUM(AP476:BA476)</f>
        <v>0</v>
      </c>
      <c r="DB476">
        <f>SUM(BB476:BM476)</f>
        <v>14566.35</v>
      </c>
      <c r="DC476">
        <f>SUM(BN476:BY476)</f>
        <v>2163.35</v>
      </c>
      <c r="DD476">
        <f>SUM(BZ476:CK476)</f>
        <v>0</v>
      </c>
      <c r="DE476">
        <f t="shared" si="0"/>
        <v>0</v>
      </c>
      <c r="DF476">
        <f>SUM(F476:CW476)</f>
        <v>16729.7</v>
      </c>
    </row>
    <row r="477" spans="1:110"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c r="CX477">
        <f>SUM(F477:Q477)</f>
        <v>0</v>
      </c>
      <c r="CY477">
        <f>SUM(R477:AC477)</f>
        <v>0</v>
      </c>
      <c r="CZ477">
        <f>SUM(AD477:AO477)</f>
        <v>0</v>
      </c>
      <c r="DA477">
        <f>SUM(AP477:BA477)</f>
        <v>0</v>
      </c>
      <c r="DB477">
        <f>SUM(BB477:BM477)</f>
        <v>0</v>
      </c>
      <c r="DC477">
        <f>SUM(BN477:BY477)</f>
        <v>0</v>
      </c>
      <c r="DD477">
        <f>SUM(BZ477:CK477)</f>
        <v>0</v>
      </c>
      <c r="DE477">
        <f t="shared" si="0"/>
        <v>0</v>
      </c>
      <c r="DF477">
        <f>SUM(F477:CW477)</f>
        <v>0</v>
      </c>
    </row>
    <row r="478" spans="1:110"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c r="CX478">
        <f>SUM(F478:Q478)</f>
        <v>0</v>
      </c>
      <c r="CY478">
        <f>SUM(R478:AC478)</f>
        <v>0</v>
      </c>
      <c r="CZ478">
        <f>SUM(AD478:AO478)</f>
        <v>0</v>
      </c>
      <c r="DA478">
        <f>SUM(AP478:BA478)</f>
        <v>0</v>
      </c>
      <c r="DB478">
        <f>SUM(BB478:BM478)</f>
        <v>0</v>
      </c>
      <c r="DC478">
        <f>SUM(BN478:BY478)</f>
        <v>5132.1899999999996</v>
      </c>
      <c r="DD478">
        <f>SUM(BZ478:CK478)</f>
        <v>0</v>
      </c>
      <c r="DE478">
        <f t="shared" si="0"/>
        <v>0</v>
      </c>
      <c r="DF478">
        <f>SUM(F478:CW478)</f>
        <v>5132.1899999999996</v>
      </c>
    </row>
    <row r="479" spans="1:110"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c r="CX479">
        <f>SUM(F479:Q479)</f>
        <v>0</v>
      </c>
      <c r="CY479">
        <f>SUM(R479:AC479)</f>
        <v>0</v>
      </c>
      <c r="CZ479">
        <f>SUM(AD479:AO479)</f>
        <v>0</v>
      </c>
      <c r="DA479">
        <f>SUM(AP479:BA479)</f>
        <v>0</v>
      </c>
      <c r="DB479">
        <f>SUM(BB479:BM479)</f>
        <v>0</v>
      </c>
      <c r="DC479">
        <f>SUM(BN479:BY479)</f>
        <v>0</v>
      </c>
      <c r="DD479">
        <f>SUM(BZ479:CK479)</f>
        <v>1052.95</v>
      </c>
      <c r="DE479">
        <f t="shared" si="0"/>
        <v>1002.89</v>
      </c>
      <c r="DF479">
        <f>SUM(F479:CW479)</f>
        <v>2055.84</v>
      </c>
    </row>
    <row r="480" spans="1:110"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c r="CX480">
        <f>SUM(F480:Q480)</f>
        <v>0</v>
      </c>
      <c r="CY480">
        <f>SUM(R480:AC480)</f>
        <v>0</v>
      </c>
      <c r="CZ480">
        <f>SUM(AD480:AO480)</f>
        <v>0</v>
      </c>
      <c r="DA480">
        <f>SUM(AP480:BA480)</f>
        <v>0</v>
      </c>
      <c r="DB480">
        <f>SUM(BB480:BM480)</f>
        <v>0</v>
      </c>
      <c r="DC480">
        <f>SUM(BN480:BY480)</f>
        <v>0</v>
      </c>
      <c r="DD480">
        <f>SUM(BZ480:CK480)</f>
        <v>7536.83</v>
      </c>
      <c r="DE480">
        <f t="shared" si="0"/>
        <v>2482.1</v>
      </c>
      <c r="DF480">
        <f>SUM(F480:CW480)</f>
        <v>10018.93</v>
      </c>
    </row>
    <row r="481" spans="1:110"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c r="CX481">
        <f>SUM(F481:Q481)</f>
        <v>0</v>
      </c>
      <c r="CY481">
        <f>SUM(R481:AC481)</f>
        <v>0</v>
      </c>
      <c r="CZ481">
        <f>SUM(AD481:AO481)</f>
        <v>0</v>
      </c>
      <c r="DA481">
        <f>SUM(AP481:BA481)</f>
        <v>1721.76</v>
      </c>
      <c r="DB481">
        <f>SUM(BB481:BM481)</f>
        <v>0</v>
      </c>
      <c r="DC481">
        <f>SUM(BN481:BY481)</f>
        <v>0</v>
      </c>
      <c r="DD481">
        <f>SUM(BZ481:CK481)</f>
        <v>0</v>
      </c>
      <c r="DE481">
        <f t="shared" si="0"/>
        <v>0</v>
      </c>
      <c r="DF481">
        <f>SUM(F481:CW481)</f>
        <v>1721.76</v>
      </c>
    </row>
    <row r="482" spans="1:110"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c r="CX482">
        <f>SUM(F482:Q482)</f>
        <v>0</v>
      </c>
      <c r="CY482">
        <f>SUM(R482:AC482)</f>
        <v>0</v>
      </c>
      <c r="CZ482">
        <f>SUM(AD482:AO482)</f>
        <v>0</v>
      </c>
      <c r="DA482">
        <f>SUM(AP482:BA482)</f>
        <v>0</v>
      </c>
      <c r="DB482">
        <f>SUM(BB482:BM482)</f>
        <v>7906.2</v>
      </c>
      <c r="DC482">
        <f>SUM(BN482:BY482)</f>
        <v>830.27</v>
      </c>
      <c r="DD482">
        <f>SUM(BZ482:CK482)</f>
        <v>0</v>
      </c>
      <c r="DE482">
        <f t="shared" si="0"/>
        <v>0</v>
      </c>
      <c r="DF482">
        <f>SUM(F482:CW482)</f>
        <v>8736.4699999999993</v>
      </c>
    </row>
    <row r="483" spans="1:110"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c r="CX483">
        <f>SUM(F483:Q483)</f>
        <v>0</v>
      </c>
      <c r="CY483">
        <f>SUM(R483:AC483)</f>
        <v>0</v>
      </c>
      <c r="CZ483">
        <f>SUM(AD483:AO483)</f>
        <v>0</v>
      </c>
      <c r="DA483">
        <f>SUM(AP483:BA483)</f>
        <v>0</v>
      </c>
      <c r="DB483">
        <f>SUM(BB483:BM483)</f>
        <v>0</v>
      </c>
      <c r="DC483">
        <f>SUM(BN483:BY483)</f>
        <v>0</v>
      </c>
      <c r="DD483">
        <f>SUM(BZ483:CK483)</f>
        <v>0</v>
      </c>
      <c r="DE483">
        <f t="shared" si="0"/>
        <v>0</v>
      </c>
      <c r="DF483">
        <f>SUM(F483:CW483)</f>
        <v>0</v>
      </c>
    </row>
    <row r="484" spans="1:110"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c r="CX484">
        <f>SUM(F484:Q484)</f>
        <v>0</v>
      </c>
      <c r="CY484">
        <f>SUM(R484:AC484)</f>
        <v>0</v>
      </c>
      <c r="CZ484">
        <f>SUM(AD484:AO484)</f>
        <v>0</v>
      </c>
      <c r="DA484">
        <f>SUM(AP484:BA484)</f>
        <v>0</v>
      </c>
      <c r="DB484">
        <f>SUM(BB484:BM484)</f>
        <v>0</v>
      </c>
      <c r="DC484">
        <f>SUM(BN484:BY484)</f>
        <v>2917.19</v>
      </c>
      <c r="DD484">
        <f>SUM(BZ484:CK484)</f>
        <v>2187.0300000000002</v>
      </c>
      <c r="DE484">
        <f t="shared" si="0"/>
        <v>0</v>
      </c>
      <c r="DF484">
        <f>SUM(F484:CW484)</f>
        <v>5104.22</v>
      </c>
    </row>
    <row r="485" spans="1:110"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c r="CX485">
        <f>SUM(F485:Q485)</f>
        <v>6676.58</v>
      </c>
      <c r="CY485">
        <f>SUM(R485:AC485)</f>
        <v>4824.34</v>
      </c>
      <c r="CZ485">
        <f>SUM(AD485:AO485)</f>
        <v>0</v>
      </c>
      <c r="DA485">
        <f>SUM(AP485:BA485)</f>
        <v>0</v>
      </c>
      <c r="DB485">
        <f>SUM(BB485:BM485)</f>
        <v>0</v>
      </c>
      <c r="DC485">
        <f>SUM(BN485:BY485)</f>
        <v>0</v>
      </c>
      <c r="DD485">
        <f>SUM(BZ485:CK485)</f>
        <v>0</v>
      </c>
      <c r="DE485">
        <f t="shared" si="0"/>
        <v>0</v>
      </c>
      <c r="DF485">
        <f>SUM(F485:CW485)</f>
        <v>11500.919999999998</v>
      </c>
    </row>
    <row r="486" spans="1:110"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c r="CX486">
        <f>SUM(F486:Q486)</f>
        <v>0</v>
      </c>
      <c r="CY486">
        <f>SUM(R486:AC486)</f>
        <v>0</v>
      </c>
      <c r="CZ486">
        <f>SUM(AD486:AO486)</f>
        <v>0</v>
      </c>
      <c r="DA486">
        <f>SUM(AP486:BA486)</f>
        <v>0</v>
      </c>
      <c r="DB486">
        <f>SUM(BB486:BM486)</f>
        <v>0</v>
      </c>
      <c r="DC486">
        <f>SUM(BN486:BY486)</f>
        <v>7769.55</v>
      </c>
      <c r="DD486">
        <f>SUM(BZ486:CK486)</f>
        <v>0</v>
      </c>
      <c r="DE486">
        <f t="shared" si="0"/>
        <v>0</v>
      </c>
      <c r="DF486">
        <f>SUM(F486:CW486)</f>
        <v>7769.55</v>
      </c>
    </row>
    <row r="487" spans="1:110"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c r="CX487">
        <f>SUM(F487:Q487)</f>
        <v>0</v>
      </c>
      <c r="CY487">
        <f>SUM(R487:AC487)</f>
        <v>2755.71</v>
      </c>
      <c r="CZ487">
        <f>SUM(AD487:AO487)</f>
        <v>314.54000000000002</v>
      </c>
      <c r="DA487">
        <f>SUM(AP487:BA487)</f>
        <v>0</v>
      </c>
      <c r="DB487">
        <f>SUM(BB487:BM487)</f>
        <v>0</v>
      </c>
      <c r="DC487">
        <f>SUM(BN487:BY487)</f>
        <v>0</v>
      </c>
      <c r="DD487">
        <f>SUM(BZ487:CK487)</f>
        <v>0</v>
      </c>
      <c r="DE487">
        <f t="shared" si="0"/>
        <v>0</v>
      </c>
      <c r="DF487">
        <f>SUM(F487:CW487)</f>
        <v>3070.25</v>
      </c>
    </row>
    <row r="488" spans="1:110"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c r="CX488">
        <f>SUM(F488:Q488)</f>
        <v>0</v>
      </c>
      <c r="CY488">
        <f>SUM(R488:AC488)</f>
        <v>0</v>
      </c>
      <c r="CZ488">
        <f>SUM(AD488:AO488)</f>
        <v>4811.09</v>
      </c>
      <c r="DA488">
        <f>SUM(AP488:BA488)</f>
        <v>0</v>
      </c>
      <c r="DB488">
        <f>SUM(BB488:BM488)</f>
        <v>0</v>
      </c>
      <c r="DC488">
        <f>SUM(BN488:BY488)</f>
        <v>0</v>
      </c>
      <c r="DD488">
        <f>SUM(BZ488:CK488)</f>
        <v>0</v>
      </c>
      <c r="DE488">
        <f t="shared" si="0"/>
        <v>0</v>
      </c>
      <c r="DF488">
        <f>SUM(F488:CW488)</f>
        <v>4811.09</v>
      </c>
    </row>
    <row r="489" spans="1:110"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c r="CX489">
        <f>SUM(F489:Q489)</f>
        <v>0</v>
      </c>
      <c r="CY489">
        <f>SUM(R489:AC489)</f>
        <v>0</v>
      </c>
      <c r="CZ489">
        <f>SUM(AD489:AO489)</f>
        <v>0</v>
      </c>
      <c r="DA489">
        <f>SUM(AP489:BA489)</f>
        <v>0</v>
      </c>
      <c r="DB489">
        <f>SUM(BB489:BM489)</f>
        <v>0</v>
      </c>
      <c r="DC489">
        <f>SUM(BN489:BY489)</f>
        <v>0</v>
      </c>
      <c r="DD489">
        <f>SUM(BZ489:CK489)</f>
        <v>0</v>
      </c>
      <c r="DE489">
        <f t="shared" si="0"/>
        <v>6063.22</v>
      </c>
      <c r="DF489">
        <f>SUM(F489:CW489)</f>
        <v>6063.22</v>
      </c>
    </row>
    <row r="490" spans="1:110"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c r="CX490">
        <f>SUM(F490:Q490)</f>
        <v>0</v>
      </c>
      <c r="CY490">
        <f>SUM(R490:AC490)</f>
        <v>13428.560000000001</v>
      </c>
      <c r="CZ490">
        <f>SUM(AD490:AO490)</f>
        <v>0</v>
      </c>
      <c r="DA490">
        <f>SUM(AP490:BA490)</f>
        <v>0</v>
      </c>
      <c r="DB490">
        <f>SUM(BB490:BM490)</f>
        <v>0</v>
      </c>
      <c r="DC490">
        <f>SUM(BN490:BY490)</f>
        <v>0</v>
      </c>
      <c r="DD490">
        <f>SUM(BZ490:CK490)</f>
        <v>0</v>
      </c>
      <c r="DE490">
        <f t="shared" si="0"/>
        <v>0</v>
      </c>
      <c r="DF490">
        <f>SUM(F490:CW490)</f>
        <v>13428.560000000001</v>
      </c>
    </row>
    <row r="491" spans="1:110"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c r="CX491">
        <f>SUM(F491:Q491)</f>
        <v>0</v>
      </c>
      <c r="CY491">
        <f>SUM(R491:AC491)</f>
        <v>0</v>
      </c>
      <c r="CZ491">
        <f>SUM(AD491:AO491)</f>
        <v>0</v>
      </c>
      <c r="DA491">
        <f>SUM(AP491:BA491)</f>
        <v>0</v>
      </c>
      <c r="DB491">
        <f>SUM(BB491:BM491)</f>
        <v>3009.28</v>
      </c>
      <c r="DC491">
        <f>SUM(BN491:BY491)</f>
        <v>0</v>
      </c>
      <c r="DD491">
        <f>SUM(BZ491:CK491)</f>
        <v>0</v>
      </c>
      <c r="DE491">
        <f t="shared" si="0"/>
        <v>0</v>
      </c>
      <c r="DF491">
        <f>SUM(F491:CW491)</f>
        <v>3009.28</v>
      </c>
    </row>
    <row r="492" spans="1:110"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c r="CX492">
        <f>SUM(F492:Q492)</f>
        <v>0</v>
      </c>
      <c r="CY492">
        <f>SUM(R492:AC492)</f>
        <v>0</v>
      </c>
      <c r="CZ492">
        <f>SUM(AD492:AO492)</f>
        <v>0</v>
      </c>
      <c r="DA492">
        <f>SUM(AP492:BA492)</f>
        <v>0</v>
      </c>
      <c r="DB492">
        <f>SUM(BB492:BM492)</f>
        <v>0</v>
      </c>
      <c r="DC492">
        <f>SUM(BN492:BY492)</f>
        <v>0</v>
      </c>
      <c r="DD492">
        <f>SUM(BZ492:CK492)</f>
        <v>506.48</v>
      </c>
      <c r="DE492">
        <f t="shared" si="0"/>
        <v>2210.23</v>
      </c>
      <c r="DF492">
        <f>SUM(F492:CW492)</f>
        <v>2716.71</v>
      </c>
    </row>
    <row r="493" spans="1:110"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c r="CX493">
        <f>SUM(F493:Q493)</f>
        <v>0</v>
      </c>
      <c r="CY493">
        <f>SUM(R493:AC493)</f>
        <v>0</v>
      </c>
      <c r="CZ493">
        <f>SUM(AD493:AO493)</f>
        <v>0</v>
      </c>
      <c r="DA493">
        <f>SUM(AP493:BA493)</f>
        <v>0</v>
      </c>
      <c r="DB493">
        <f>SUM(BB493:BM493)</f>
        <v>0</v>
      </c>
      <c r="DC493">
        <f>SUM(BN493:BY493)</f>
        <v>0</v>
      </c>
      <c r="DD493">
        <f>SUM(BZ493:CK493)</f>
        <v>0</v>
      </c>
      <c r="DE493">
        <f t="shared" si="0"/>
        <v>1985.59</v>
      </c>
      <c r="DF493">
        <f>SUM(F493:CW493)</f>
        <v>1985.59</v>
      </c>
    </row>
    <row r="494" spans="1:110"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c r="CX494">
        <f>SUM(F494:Q494)</f>
        <v>0</v>
      </c>
      <c r="CY494">
        <f>SUM(R494:AC494)</f>
        <v>0</v>
      </c>
      <c r="CZ494">
        <f>SUM(AD494:AO494)</f>
        <v>0</v>
      </c>
      <c r="DA494">
        <f>SUM(AP494:BA494)</f>
        <v>0</v>
      </c>
      <c r="DB494">
        <f>SUM(BB494:BM494)</f>
        <v>0</v>
      </c>
      <c r="DC494">
        <f>SUM(BN494:BY494)</f>
        <v>4300.25</v>
      </c>
      <c r="DD494">
        <f>SUM(BZ494:CK494)</f>
        <v>2861.7300000000005</v>
      </c>
      <c r="DE494">
        <f t="shared" si="0"/>
        <v>0</v>
      </c>
      <c r="DF494">
        <f>SUM(F494:CW494)</f>
        <v>7161.9800000000005</v>
      </c>
    </row>
    <row r="495" spans="1:110"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c r="CX495">
        <f>SUM(F495:Q495)</f>
        <v>0</v>
      </c>
      <c r="CY495">
        <f>SUM(R495:AC495)</f>
        <v>0</v>
      </c>
      <c r="CZ495">
        <f>SUM(AD495:AO495)</f>
        <v>0</v>
      </c>
      <c r="DA495">
        <f>SUM(AP495:BA495)</f>
        <v>2750.43</v>
      </c>
      <c r="DB495">
        <f>SUM(BB495:BM495)</f>
        <v>0</v>
      </c>
      <c r="DC495">
        <f>SUM(BN495:BY495)</f>
        <v>0</v>
      </c>
      <c r="DD495">
        <f>SUM(BZ495:CK495)</f>
        <v>0</v>
      </c>
      <c r="DE495">
        <f t="shared" si="0"/>
        <v>0</v>
      </c>
      <c r="DF495">
        <f>SUM(F495:CW495)</f>
        <v>2750.43</v>
      </c>
    </row>
    <row r="496" spans="1:110"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c r="CX496">
        <f>SUM(F496:Q496)</f>
        <v>0</v>
      </c>
      <c r="CY496">
        <f>SUM(R496:AC496)</f>
        <v>0</v>
      </c>
      <c r="CZ496">
        <f>SUM(AD496:AO496)</f>
        <v>0</v>
      </c>
      <c r="DA496">
        <f>SUM(AP496:BA496)</f>
        <v>0</v>
      </c>
      <c r="DB496">
        <f>SUM(BB496:BM496)</f>
        <v>0</v>
      </c>
      <c r="DC496">
        <f>SUM(BN496:BY496)</f>
        <v>570.62</v>
      </c>
      <c r="DD496">
        <f>SUM(BZ496:CK496)</f>
        <v>0</v>
      </c>
      <c r="DE496">
        <f t="shared" si="0"/>
        <v>0</v>
      </c>
      <c r="DF496">
        <f>SUM(F496:CW496)</f>
        <v>570.62</v>
      </c>
    </row>
    <row r="497" spans="1:110"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c r="CX497">
        <f>SUM(F497:Q497)</f>
        <v>0</v>
      </c>
      <c r="CY497">
        <f>SUM(R497:AC497)</f>
        <v>0</v>
      </c>
      <c r="CZ497">
        <f>SUM(AD497:AO497)</f>
        <v>4231.37</v>
      </c>
      <c r="DA497">
        <f>SUM(AP497:BA497)</f>
        <v>0</v>
      </c>
      <c r="DB497">
        <f>SUM(BB497:BM497)</f>
        <v>0</v>
      </c>
      <c r="DC497">
        <f>SUM(BN497:BY497)</f>
        <v>0</v>
      </c>
      <c r="DD497">
        <f>SUM(BZ497:CK497)</f>
        <v>0</v>
      </c>
      <c r="DE497">
        <f t="shared" si="0"/>
        <v>0</v>
      </c>
      <c r="DF497">
        <f>SUM(F497:CW497)</f>
        <v>4231.37</v>
      </c>
    </row>
    <row r="498" spans="1:110"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c r="CX498">
        <f>SUM(F498:Q498)</f>
        <v>684.2700000000001</v>
      </c>
      <c r="CY498">
        <f>SUM(R498:AC498)</f>
        <v>1433.1000000000001</v>
      </c>
      <c r="CZ498">
        <f>SUM(AD498:AO498)</f>
        <v>434.44</v>
      </c>
      <c r="DA498">
        <f>SUM(AP498:BA498)</f>
        <v>0</v>
      </c>
      <c r="DB498">
        <f>SUM(BB498:BM498)</f>
        <v>0</v>
      </c>
      <c r="DC498">
        <f>SUM(BN498:BY498)</f>
        <v>0</v>
      </c>
      <c r="DD498">
        <f>SUM(BZ498:CK498)</f>
        <v>0</v>
      </c>
      <c r="DE498">
        <f t="shared" si="0"/>
        <v>0</v>
      </c>
      <c r="DF498">
        <f>SUM(F498:CW498)</f>
        <v>2551.81</v>
      </c>
    </row>
    <row r="499" spans="1:110"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c r="CX499">
        <f>SUM(F499:Q499)</f>
        <v>0</v>
      </c>
      <c r="CY499">
        <f>SUM(R499:AC499)</f>
        <v>4744.8900000000003</v>
      </c>
      <c r="CZ499">
        <f>SUM(AD499:AO499)</f>
        <v>0</v>
      </c>
      <c r="DA499">
        <f>SUM(AP499:BA499)</f>
        <v>0</v>
      </c>
      <c r="DB499">
        <f>SUM(BB499:BM499)</f>
        <v>0</v>
      </c>
      <c r="DC499">
        <f>SUM(BN499:BY499)</f>
        <v>0</v>
      </c>
      <c r="DD499">
        <f>SUM(BZ499:CK499)</f>
        <v>0</v>
      </c>
      <c r="DE499">
        <f t="shared" si="0"/>
        <v>0</v>
      </c>
      <c r="DF499">
        <f>SUM(F499:CW499)</f>
        <v>4744.8900000000003</v>
      </c>
    </row>
  </sheetData>
  <mergeCells count="15">
    <mergeCell ref="F1:Q1"/>
    <mergeCell ref="A1:A2"/>
    <mergeCell ref="B1:B2"/>
    <mergeCell ref="C1:C2"/>
    <mergeCell ref="D1:D2"/>
    <mergeCell ref="E1:E2"/>
    <mergeCell ref="CL1:CW1"/>
    <mergeCell ref="DF1:DF2"/>
    <mergeCell ref="R1:AC1"/>
    <mergeCell ref="AD1:AO1"/>
    <mergeCell ref="AP1:BA1"/>
    <mergeCell ref="BB1:BM1"/>
    <mergeCell ref="BN1:BY1"/>
    <mergeCell ref="BZ1:CK1"/>
    <mergeCell ref="CX1:DE1"/>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F15"/>
  <sheetViews>
    <sheetView showGridLines="0" zoomScaleNormal="100" workbookViewId="0">
      <selection activeCell="K13" sqref="K13"/>
    </sheetView>
  </sheetViews>
  <sheetFormatPr defaultColWidth="8.6640625" defaultRowHeight="14.25" x14ac:dyDescent="0.45"/>
  <cols>
    <col min="1" max="1" width="3" customWidth="1"/>
    <col min="2" max="2" width="28" customWidth="1"/>
    <col min="3" max="3" width="38" customWidth="1"/>
    <col min="4" max="6" width="16" customWidth="1"/>
  </cols>
  <sheetData>
    <row r="1" spans="2:6" ht="7.5" customHeight="1" thickBot="1" x14ac:dyDescent="0.5"/>
    <row r="2" spans="2:6" ht="36" customHeight="1" thickBot="1" x14ac:dyDescent="0.5">
      <c r="B2" s="159" t="s">
        <v>0</v>
      </c>
      <c r="C2" s="159"/>
      <c r="D2" s="159"/>
      <c r="E2" s="159"/>
      <c r="F2" s="159"/>
    </row>
    <row r="3" spans="2:6" ht="18" customHeight="1" x14ac:dyDescent="0.45">
      <c r="B3" s="160" t="s">
        <v>1</v>
      </c>
      <c r="C3" s="160"/>
      <c r="D3" s="160"/>
      <c r="E3" s="160"/>
      <c r="F3" s="160"/>
    </row>
    <row r="4" spans="2:6" ht="7.5" customHeight="1" x14ac:dyDescent="0.45"/>
    <row r="5" spans="2:6" ht="15.75" customHeight="1" x14ac:dyDescent="0.45">
      <c r="B5" s="1" t="s">
        <v>2</v>
      </c>
      <c r="C5" s="1" t="s">
        <v>3</v>
      </c>
      <c r="D5" s="1" t="s">
        <v>4</v>
      </c>
      <c r="E5" s="1" t="s">
        <v>5</v>
      </c>
      <c r="F5" s="1" t="s">
        <v>6</v>
      </c>
    </row>
    <row r="6" spans="2:6" ht="30" customHeight="1" x14ac:dyDescent="0.45">
      <c r="B6" s="2" t="s">
        <v>7</v>
      </c>
      <c r="C6" s="3" t="s">
        <v>8</v>
      </c>
      <c r="D6" s="4" t="s">
        <v>9</v>
      </c>
      <c r="E6" s="5">
        <v>0.83</v>
      </c>
      <c r="F6" s="6">
        <v>1.006</v>
      </c>
    </row>
    <row r="7" spans="2:6" ht="30" customHeight="1" x14ac:dyDescent="0.45">
      <c r="B7" s="7" t="s">
        <v>10</v>
      </c>
      <c r="C7" s="8" t="s">
        <v>11</v>
      </c>
      <c r="D7" s="9" t="s">
        <v>12</v>
      </c>
      <c r="E7" s="10">
        <v>0.55200000000000005</v>
      </c>
      <c r="F7" s="11">
        <v>1.01</v>
      </c>
    </row>
    <row r="8" spans="2:6" ht="30" customHeight="1" x14ac:dyDescent="0.45">
      <c r="B8" s="12" t="s">
        <v>13</v>
      </c>
      <c r="C8" s="13" t="s">
        <v>14</v>
      </c>
      <c r="D8" s="14" t="s">
        <v>15</v>
      </c>
      <c r="E8" s="15">
        <v>0.44500000000000001</v>
      </c>
      <c r="F8" s="16">
        <v>1.008</v>
      </c>
    </row>
    <row r="9" spans="2:6" ht="30" customHeight="1" x14ac:dyDescent="0.45">
      <c r="B9" s="17" t="s">
        <v>16</v>
      </c>
      <c r="C9" s="18" t="s">
        <v>17</v>
      </c>
      <c r="D9" s="19" t="s">
        <v>18</v>
      </c>
      <c r="E9" s="20">
        <v>0.32200000000000001</v>
      </c>
      <c r="F9" s="21">
        <v>1.0049999999999999</v>
      </c>
    </row>
    <row r="10" spans="2:6" ht="30" customHeight="1" x14ac:dyDescent="0.45">
      <c r="B10" s="22" t="s">
        <v>19</v>
      </c>
      <c r="C10" s="23" t="s">
        <v>20</v>
      </c>
      <c r="D10" s="24" t="s">
        <v>21</v>
      </c>
      <c r="E10" s="25">
        <v>0.28199999999999997</v>
      </c>
      <c r="F10" s="26">
        <v>1.0029999999999999</v>
      </c>
    </row>
    <row r="12" spans="2:6" ht="15.75" customHeight="1" x14ac:dyDescent="0.45">
      <c r="B12" s="161" t="s">
        <v>22</v>
      </c>
      <c r="C12" s="161"/>
      <c r="D12" s="161"/>
      <c r="E12" s="161"/>
      <c r="F12" s="161"/>
    </row>
    <row r="13" spans="2:6" ht="36" customHeight="1" x14ac:dyDescent="0.45">
      <c r="B13" s="27" t="s">
        <v>23</v>
      </c>
      <c r="C13" s="162" t="s">
        <v>24</v>
      </c>
      <c r="D13" s="162"/>
      <c r="E13" s="162"/>
      <c r="F13" s="162"/>
    </row>
    <row r="15" spans="2:6" ht="13.5" customHeight="1" x14ac:dyDescent="0.45">
      <c r="B15" s="158" t="s">
        <v>25</v>
      </c>
      <c r="C15" s="158"/>
      <c r="D15" s="158"/>
      <c r="E15" s="158"/>
      <c r="F15" s="158"/>
    </row>
  </sheetData>
  <mergeCells count="5">
    <mergeCell ref="B15:F15"/>
    <mergeCell ref="B2:F2"/>
    <mergeCell ref="B3:F3"/>
    <mergeCell ref="B12:F12"/>
    <mergeCell ref="C13:F13"/>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9"/>
  <sheetViews>
    <sheetView showGridLines="0" zoomScale="90" zoomScaleNormal="90" workbookViewId="0">
      <selection activeCell="B6" sqref="B6:D7"/>
    </sheetView>
  </sheetViews>
  <sheetFormatPr defaultColWidth="8.6640625" defaultRowHeight="14.25" x14ac:dyDescent="0.45"/>
  <cols>
    <col min="1" max="1" width="32" customWidth="1"/>
    <col min="2" max="5" width="13" customWidth="1"/>
    <col min="6" max="6" width="28.19921875" customWidth="1"/>
    <col min="7" max="7" width="45" customWidth="1"/>
  </cols>
  <sheetData>
    <row r="1" spans="1:6" ht="9.75" customHeight="1" x14ac:dyDescent="0.45"/>
    <row r="2" spans="1:6" ht="27.75" customHeight="1" x14ac:dyDescent="0.45">
      <c r="A2" s="164" t="s">
        <v>26</v>
      </c>
      <c r="B2" s="164"/>
      <c r="C2" s="164"/>
      <c r="D2" s="164"/>
      <c r="E2" s="164"/>
      <c r="F2" s="164"/>
    </row>
    <row r="3" spans="1:6" ht="15.75" customHeight="1" x14ac:dyDescent="0.45">
      <c r="A3" s="165" t="s">
        <v>27</v>
      </c>
      <c r="B3" s="165"/>
      <c r="C3" s="165"/>
      <c r="D3" s="165"/>
      <c r="E3" s="165"/>
      <c r="F3" s="165"/>
    </row>
    <row r="4" spans="1:6" ht="12" customHeight="1" x14ac:dyDescent="0.45"/>
    <row r="5" spans="1:6" ht="18" customHeight="1" x14ac:dyDescent="0.45">
      <c r="A5" s="166" t="s">
        <v>28</v>
      </c>
      <c r="B5" s="166"/>
      <c r="C5" s="166"/>
      <c r="D5" s="166"/>
      <c r="E5" s="166"/>
      <c r="F5" s="166"/>
    </row>
    <row r="6" spans="1:6" ht="15.75" customHeight="1" x14ac:dyDescent="0.45">
      <c r="A6" s="28" t="s">
        <v>29</v>
      </c>
      <c r="B6" s="29" t="s">
        <v>30</v>
      </c>
      <c r="C6" s="29" t="s">
        <v>31</v>
      </c>
      <c r="D6" s="30" t="s">
        <v>32</v>
      </c>
    </row>
    <row r="7" spans="1:6" ht="15" customHeight="1" x14ac:dyDescent="0.45">
      <c r="A7" s="31" t="s">
        <v>33</v>
      </c>
      <c r="B7" s="32">
        <v>1.1919999999999999</v>
      </c>
      <c r="C7" s="32">
        <v>1.024</v>
      </c>
      <c r="D7" s="33">
        <v>1.006</v>
      </c>
    </row>
    <row r="8" spans="1:6" ht="6" customHeight="1" x14ac:dyDescent="0.45"/>
    <row r="9" spans="1:6" ht="12" customHeight="1" x14ac:dyDescent="0.45">
      <c r="A9" s="163" t="s">
        <v>34</v>
      </c>
      <c r="B9" s="163"/>
      <c r="C9" s="163"/>
      <c r="D9" s="163"/>
      <c r="E9" s="163"/>
      <c r="F9" s="163"/>
    </row>
  </sheetData>
  <mergeCells count="4">
    <mergeCell ref="A9:F9"/>
    <mergeCell ref="A2:F2"/>
    <mergeCell ref="A3:F3"/>
    <mergeCell ref="A5:F5"/>
  </mergeCell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9"/>
  <sheetViews>
    <sheetView showGridLines="0" zoomScale="90" zoomScaleNormal="90" workbookViewId="0">
      <selection activeCell="B6" sqref="B6:E7"/>
    </sheetView>
  </sheetViews>
  <sheetFormatPr defaultColWidth="8.6640625" defaultRowHeight="14.25" x14ac:dyDescent="0.45"/>
  <cols>
    <col min="1" max="1" width="32" customWidth="1"/>
    <col min="2" max="7" width="13" customWidth="1"/>
    <col min="8" max="8" width="45" customWidth="1"/>
  </cols>
  <sheetData>
    <row r="1" spans="1:7" ht="9.75" customHeight="1" x14ac:dyDescent="0.45"/>
    <row r="2" spans="1:7" ht="27.75" customHeight="1" x14ac:dyDescent="0.45">
      <c r="A2" s="167" t="s">
        <v>35</v>
      </c>
      <c r="B2" s="167"/>
      <c r="C2" s="167"/>
      <c r="D2" s="167"/>
      <c r="E2" s="167"/>
      <c r="F2" s="167"/>
      <c r="G2" s="167"/>
    </row>
    <row r="3" spans="1:7" ht="15.75" customHeight="1" x14ac:dyDescent="0.45">
      <c r="A3" s="168" t="s">
        <v>36</v>
      </c>
      <c r="B3" s="168"/>
      <c r="C3" s="168"/>
      <c r="D3" s="168"/>
      <c r="E3" s="168"/>
      <c r="F3" s="168"/>
      <c r="G3" s="168"/>
    </row>
    <row r="4" spans="1:7" ht="12" customHeight="1" x14ac:dyDescent="0.45"/>
    <row r="5" spans="1:7" ht="18" customHeight="1" x14ac:dyDescent="0.45">
      <c r="A5" s="169" t="s">
        <v>28</v>
      </c>
      <c r="B5" s="169"/>
      <c r="C5" s="169"/>
      <c r="D5" s="169"/>
      <c r="E5" s="169"/>
      <c r="F5" s="169"/>
      <c r="G5" s="169"/>
    </row>
    <row r="6" spans="1:7" ht="15.75" customHeight="1" x14ac:dyDescent="0.45">
      <c r="A6" s="34" t="s">
        <v>29</v>
      </c>
      <c r="B6" s="35" t="s">
        <v>30</v>
      </c>
      <c r="C6" s="35" t="s">
        <v>31</v>
      </c>
      <c r="D6" s="35" t="s">
        <v>37</v>
      </c>
      <c r="E6" s="36" t="s">
        <v>38</v>
      </c>
    </row>
    <row r="7" spans="1:7" ht="15" customHeight="1" x14ac:dyDescent="0.45">
      <c r="A7" s="37" t="s">
        <v>33</v>
      </c>
      <c r="B7" s="32">
        <v>1.635</v>
      </c>
      <c r="C7" s="32">
        <v>1.1120000000000001</v>
      </c>
      <c r="D7" s="32">
        <v>1.038</v>
      </c>
      <c r="E7" s="33">
        <v>1.01</v>
      </c>
    </row>
    <row r="8" spans="1:7" ht="6" customHeight="1" x14ac:dyDescent="0.45"/>
    <row r="9" spans="1:7" ht="12" customHeight="1" x14ac:dyDescent="0.45">
      <c r="A9" s="163" t="s">
        <v>34</v>
      </c>
      <c r="B9" s="163"/>
      <c r="C9" s="163"/>
      <c r="D9" s="163"/>
      <c r="E9" s="163"/>
      <c r="F9" s="163"/>
      <c r="G9" s="163"/>
    </row>
  </sheetData>
  <mergeCells count="4">
    <mergeCell ref="A9:G9"/>
    <mergeCell ref="A2:G2"/>
    <mergeCell ref="A3:G3"/>
    <mergeCell ref="A5:G5"/>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9"/>
  <sheetViews>
    <sheetView showGridLines="0" zoomScale="90" zoomScaleNormal="90" workbookViewId="0">
      <selection activeCell="B6" sqref="B6"/>
    </sheetView>
  </sheetViews>
  <sheetFormatPr defaultColWidth="8.6640625" defaultRowHeight="14.25" x14ac:dyDescent="0.45"/>
  <cols>
    <col min="1" max="1" width="32" customWidth="1"/>
    <col min="2" max="8" width="13" customWidth="1"/>
    <col min="9" max="9" width="45" customWidth="1"/>
  </cols>
  <sheetData>
    <row r="1" spans="1:8" ht="9.75" customHeight="1" x14ac:dyDescent="0.45"/>
    <row r="2" spans="1:8" ht="27.75" customHeight="1" x14ac:dyDescent="0.45">
      <c r="A2" s="170" t="s">
        <v>39</v>
      </c>
      <c r="B2" s="170"/>
      <c r="C2" s="170"/>
      <c r="D2" s="170"/>
      <c r="E2" s="170"/>
      <c r="F2" s="170"/>
      <c r="G2" s="170"/>
      <c r="H2" s="170"/>
    </row>
    <row r="3" spans="1:8" ht="15.75" customHeight="1" x14ac:dyDescent="0.45">
      <c r="A3" s="171" t="s">
        <v>40</v>
      </c>
      <c r="B3" s="171"/>
      <c r="C3" s="171"/>
      <c r="D3" s="171"/>
      <c r="E3" s="171"/>
      <c r="F3" s="171"/>
      <c r="G3" s="171"/>
      <c r="H3" s="171"/>
    </row>
    <row r="4" spans="1:8" ht="12" customHeight="1" x14ac:dyDescent="0.45"/>
    <row r="5" spans="1:8" ht="18" customHeight="1" x14ac:dyDescent="0.45">
      <c r="A5" s="172" t="s">
        <v>28</v>
      </c>
      <c r="B5" s="172"/>
      <c r="C5" s="172"/>
      <c r="D5" s="172"/>
      <c r="E5" s="172"/>
      <c r="F5" s="172"/>
      <c r="G5" s="172"/>
      <c r="H5" s="172"/>
    </row>
    <row r="6" spans="1:8" ht="15.75" customHeight="1" x14ac:dyDescent="0.45">
      <c r="A6" s="38" t="s">
        <v>29</v>
      </c>
      <c r="B6" s="39" t="s">
        <v>30</v>
      </c>
      <c r="C6" s="39" t="s">
        <v>31</v>
      </c>
      <c r="D6" s="39" t="s">
        <v>37</v>
      </c>
      <c r="E6" s="39" t="s">
        <v>41</v>
      </c>
      <c r="F6" s="40" t="s">
        <v>42</v>
      </c>
    </row>
    <row r="7" spans="1:8" ht="15" customHeight="1" x14ac:dyDescent="0.45">
      <c r="A7" s="41" t="s">
        <v>33</v>
      </c>
      <c r="B7" s="32">
        <v>1.895</v>
      </c>
      <c r="C7" s="32">
        <v>1.1719999999999999</v>
      </c>
      <c r="D7" s="32">
        <v>1.0580000000000001</v>
      </c>
      <c r="E7" s="32">
        <v>1.022</v>
      </c>
      <c r="F7" s="33">
        <v>1.008</v>
      </c>
    </row>
    <row r="8" spans="1:8" ht="6" customHeight="1" x14ac:dyDescent="0.45"/>
    <row r="9" spans="1:8" ht="12" customHeight="1" x14ac:dyDescent="0.45">
      <c r="A9" s="163" t="s">
        <v>34</v>
      </c>
      <c r="B9" s="163"/>
      <c r="C9" s="163"/>
      <c r="D9" s="163"/>
      <c r="E9" s="163"/>
      <c r="F9" s="163"/>
      <c r="G9" s="163"/>
      <c r="H9" s="163"/>
    </row>
  </sheetData>
  <mergeCells count="4">
    <mergeCell ref="A9:H9"/>
    <mergeCell ref="A2:H2"/>
    <mergeCell ref="A3:H3"/>
    <mergeCell ref="A5:H5"/>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9"/>
  <sheetViews>
    <sheetView showGridLines="0" zoomScale="90" zoomScaleNormal="90" workbookViewId="0">
      <selection activeCell="B6" sqref="B6:H7"/>
    </sheetView>
  </sheetViews>
  <sheetFormatPr defaultColWidth="8.6640625" defaultRowHeight="14.25" x14ac:dyDescent="0.45"/>
  <cols>
    <col min="1" max="1" width="32" customWidth="1"/>
    <col min="2" max="10" width="13" customWidth="1"/>
    <col min="11" max="11" width="45" customWidth="1"/>
  </cols>
  <sheetData>
    <row r="1" spans="1:10" ht="9.75" customHeight="1" x14ac:dyDescent="0.45"/>
    <row r="2" spans="1:10" ht="27.75" customHeight="1" x14ac:dyDescent="0.45">
      <c r="A2" s="173" t="s">
        <v>43</v>
      </c>
      <c r="B2" s="173"/>
      <c r="C2" s="173"/>
      <c r="D2" s="173"/>
      <c r="E2" s="173"/>
      <c r="F2" s="173"/>
      <c r="G2" s="173"/>
      <c r="H2" s="173"/>
      <c r="I2" s="173"/>
      <c r="J2" s="173"/>
    </row>
    <row r="3" spans="1:10" ht="15.75" customHeight="1" x14ac:dyDescent="0.45">
      <c r="A3" s="174" t="s">
        <v>44</v>
      </c>
      <c r="B3" s="174"/>
      <c r="C3" s="174"/>
      <c r="D3" s="174"/>
      <c r="E3" s="174"/>
      <c r="F3" s="174"/>
      <c r="G3" s="174"/>
      <c r="H3" s="174"/>
      <c r="I3" s="174"/>
      <c r="J3" s="174"/>
    </row>
    <row r="4" spans="1:10" ht="12" customHeight="1" x14ac:dyDescent="0.45"/>
    <row r="5" spans="1:10" ht="18" customHeight="1" x14ac:dyDescent="0.45">
      <c r="A5" s="175" t="s">
        <v>28</v>
      </c>
      <c r="B5" s="175"/>
      <c r="C5" s="175"/>
      <c r="D5" s="175"/>
      <c r="E5" s="175"/>
      <c r="F5" s="175"/>
      <c r="G5" s="175"/>
      <c r="H5" s="175"/>
      <c r="I5" s="175"/>
      <c r="J5" s="175"/>
    </row>
    <row r="6" spans="1:10" ht="15.75" customHeight="1" x14ac:dyDescent="0.45">
      <c r="A6" s="42" t="s">
        <v>29</v>
      </c>
      <c r="B6" s="43" t="s">
        <v>30</v>
      </c>
      <c r="C6" s="43" t="s">
        <v>31</v>
      </c>
      <c r="D6" s="43" t="s">
        <v>37</v>
      </c>
      <c r="E6" s="43" t="s">
        <v>41</v>
      </c>
      <c r="F6" s="43" t="s">
        <v>45</v>
      </c>
      <c r="G6" s="43" t="s">
        <v>46</v>
      </c>
      <c r="H6" s="44" t="s">
        <v>47</v>
      </c>
    </row>
    <row r="7" spans="1:10" ht="15" customHeight="1" x14ac:dyDescent="0.45">
      <c r="A7" s="45" t="s">
        <v>33</v>
      </c>
      <c r="B7" s="32">
        <v>2.3849999999999998</v>
      </c>
      <c r="C7" s="32">
        <v>1.298</v>
      </c>
      <c r="D7" s="32">
        <v>1.1279999999999999</v>
      </c>
      <c r="E7" s="32">
        <v>1.0580000000000001</v>
      </c>
      <c r="F7" s="32">
        <v>1.028</v>
      </c>
      <c r="G7" s="32">
        <v>1.012</v>
      </c>
      <c r="H7" s="33">
        <v>1.0049999999999999</v>
      </c>
    </row>
    <row r="8" spans="1:10" ht="6" customHeight="1" x14ac:dyDescent="0.45"/>
    <row r="9" spans="1:10" ht="12" customHeight="1" x14ac:dyDescent="0.45">
      <c r="A9" s="163" t="s">
        <v>34</v>
      </c>
      <c r="B9" s="163"/>
      <c r="C9" s="163"/>
      <c r="D9" s="163"/>
      <c r="E9" s="163"/>
      <c r="F9" s="163"/>
      <c r="G9" s="163"/>
      <c r="H9" s="163"/>
      <c r="I9" s="163"/>
      <c r="J9" s="163"/>
    </row>
  </sheetData>
  <mergeCells count="4">
    <mergeCell ref="A9:J9"/>
    <mergeCell ref="A2:J2"/>
    <mergeCell ref="A3:J3"/>
    <mergeCell ref="A5:J5"/>
  </mergeCell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9"/>
  <sheetViews>
    <sheetView showGridLines="0" zoomScale="90" zoomScaleNormal="90" workbookViewId="0">
      <selection activeCell="B6" sqref="B6:K6"/>
    </sheetView>
  </sheetViews>
  <sheetFormatPr defaultColWidth="8.6640625" defaultRowHeight="14.25" x14ac:dyDescent="0.45"/>
  <cols>
    <col min="1" max="1" width="32" customWidth="1"/>
    <col min="2" max="13" width="13" customWidth="1"/>
    <col min="14" max="14" width="45" customWidth="1"/>
  </cols>
  <sheetData>
    <row r="1" spans="1:13" ht="9.75" customHeight="1" x14ac:dyDescent="0.45"/>
    <row r="2" spans="1:13" ht="27.75" customHeight="1" x14ac:dyDescent="0.45">
      <c r="A2" s="176" t="s">
        <v>48</v>
      </c>
      <c r="B2" s="176"/>
      <c r="C2" s="176"/>
      <c r="D2" s="176"/>
      <c r="E2" s="176"/>
      <c r="F2" s="176"/>
      <c r="G2" s="176"/>
      <c r="H2" s="176"/>
      <c r="I2" s="176"/>
      <c r="J2" s="176"/>
      <c r="K2" s="176"/>
      <c r="L2" s="176"/>
      <c r="M2" s="176"/>
    </row>
    <row r="3" spans="1:13" ht="15.75" customHeight="1" x14ac:dyDescent="0.45">
      <c r="A3" s="177" t="s">
        <v>49</v>
      </c>
      <c r="B3" s="177"/>
      <c r="C3" s="177"/>
      <c r="D3" s="177"/>
      <c r="E3" s="177"/>
      <c r="F3" s="177"/>
      <c r="G3" s="177"/>
      <c r="H3" s="177"/>
      <c r="I3" s="177"/>
      <c r="J3" s="177"/>
      <c r="K3" s="177"/>
      <c r="L3" s="177"/>
      <c r="M3" s="177"/>
    </row>
    <row r="4" spans="1:13" ht="12" customHeight="1" x14ac:dyDescent="0.45"/>
    <row r="5" spans="1:13" ht="18" customHeight="1" x14ac:dyDescent="0.45">
      <c r="A5" s="178" t="s">
        <v>28</v>
      </c>
      <c r="B5" s="178"/>
      <c r="C5" s="178"/>
      <c r="D5" s="178"/>
      <c r="E5" s="178"/>
      <c r="F5" s="178"/>
      <c r="G5" s="178"/>
      <c r="H5" s="178"/>
      <c r="I5" s="178"/>
      <c r="J5" s="178"/>
      <c r="K5" s="178"/>
      <c r="L5" s="178"/>
      <c r="M5" s="178"/>
    </row>
    <row r="6" spans="1:13" ht="15.75" customHeight="1" x14ac:dyDescent="0.45">
      <c r="A6" s="46" t="s">
        <v>29</v>
      </c>
      <c r="B6" s="47" t="s">
        <v>30</v>
      </c>
      <c r="C6" s="47" t="s">
        <v>31</v>
      </c>
      <c r="D6" s="47" t="s">
        <v>37</v>
      </c>
      <c r="E6" s="47" t="s">
        <v>41</v>
      </c>
      <c r="F6" s="47" t="s">
        <v>45</v>
      </c>
      <c r="G6" s="47" t="s">
        <v>46</v>
      </c>
      <c r="H6" s="47" t="s">
        <v>50</v>
      </c>
      <c r="I6" s="47" t="s">
        <v>51</v>
      </c>
      <c r="J6" s="47" t="s">
        <v>52</v>
      </c>
      <c r="K6" s="48" t="s">
        <v>53</v>
      </c>
    </row>
    <row r="7" spans="1:13" ht="15" customHeight="1" x14ac:dyDescent="0.45">
      <c r="A7" s="49" t="s">
        <v>33</v>
      </c>
      <c r="B7" s="32">
        <v>2.8620000000000001</v>
      </c>
      <c r="C7" s="32">
        <v>1.4179999999999999</v>
      </c>
      <c r="D7" s="32">
        <v>1.1819999999999999</v>
      </c>
      <c r="E7" s="32">
        <v>1.0920000000000001</v>
      </c>
      <c r="F7" s="32">
        <v>1.048</v>
      </c>
      <c r="G7" s="32">
        <v>1.026</v>
      </c>
      <c r="H7" s="32">
        <v>1.014</v>
      </c>
      <c r="I7" s="32">
        <v>1.008</v>
      </c>
      <c r="J7" s="32">
        <v>1.004</v>
      </c>
      <c r="K7" s="33">
        <v>1.0029999999999999</v>
      </c>
    </row>
    <row r="8" spans="1:13" ht="6" customHeight="1" x14ac:dyDescent="0.45"/>
    <row r="9" spans="1:13" ht="12" customHeight="1" x14ac:dyDescent="0.45">
      <c r="A9" s="163" t="s">
        <v>34</v>
      </c>
      <c r="B9" s="163"/>
      <c r="C9" s="163"/>
      <c r="D9" s="163"/>
      <c r="E9" s="163"/>
      <c r="F9" s="163"/>
      <c r="G9" s="163"/>
      <c r="H9" s="163"/>
      <c r="I9" s="163"/>
      <c r="J9" s="163"/>
      <c r="K9" s="163"/>
      <c r="L9" s="163"/>
      <c r="M9" s="163"/>
    </row>
  </sheetData>
  <mergeCells count="4">
    <mergeCell ref="A9:M9"/>
    <mergeCell ref="A2:M2"/>
    <mergeCell ref="A3:M3"/>
    <mergeCell ref="A5:M5"/>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Loss Calculator</vt:lpstr>
      <vt:lpstr>Aggregate payments analysis</vt:lpstr>
      <vt:lpstr>Premium change analysis</vt:lpstr>
      <vt:lpstr>1. ENC - Home Dataset (backup)</vt:lpstr>
      <vt:lpstr>1. ENC - Home Dataset</vt:lpstr>
      <vt:lpstr>2. Index</vt:lpstr>
      <vt:lpstr>3. Theft</vt:lpstr>
      <vt:lpstr>4. Wind-Hail</vt:lpstr>
      <vt:lpstr>5. Water_Damage</vt:lpstr>
      <vt:lpstr>6. Flood</vt:lpstr>
      <vt:lpstr>7. Fire</vt:lpstr>
      <vt:lpstr>accident_month</vt:lpstr>
      <vt:lpstr>accident_year</vt:lpstr>
      <vt:lpstr>claim_status</vt:lpstr>
      <vt:lpstr>claim_type</vt:lpstr>
      <vt:lpstr>claims</vt:lpstr>
      <vt:lpstr>fire_df</vt:lpstr>
      <vt:lpstr>flood_df</vt:lpstr>
      <vt:lpstr>theft_df</vt:lpstr>
      <vt:lpstr>total_claim_payment</vt:lpstr>
      <vt:lpstr>waterdamage_df</vt:lpstr>
      <vt:lpstr>windhail_df</vt:lpstr>
      <vt:lpstr>yearly_total_payments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Lee, Jonghyun</cp:lastModifiedBy>
  <cp:revision>0</cp:revision>
  <dcterms:created xsi:type="dcterms:W3CDTF">2026-04-17T21:56:46Z</dcterms:created>
  <dcterms:modified xsi:type="dcterms:W3CDTF">2026-08-31T22:12:05Z</dcterms:modified>
  <dc:language>en-US</dc:language>
</cp:coreProperties>
</file>