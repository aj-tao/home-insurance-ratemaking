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C2556544-CAAE-44F1-AA04-BFE02499739B}" xr6:coauthVersionLast="47" xr6:coauthVersionMax="47" xr10:uidLastSave="{00000000-0000-0000-0000-000000000000}"/>
  <bookViews>
    <workbookView xWindow="-98" yWindow="-98" windowWidth="24255" windowHeight="11895" tabRatio="500" activeTab="2" xr2:uid="{00000000-000D-0000-FFFF-FFFF00000000}"/>
  </bookViews>
  <sheets>
    <sheet name="1. ENC - Home Dataset" sheetId="7" r:id="rId1"/>
    <sheet name="1. ENC - Home Dataset (2)" sheetId="8" r:id="rId2"/>
    <sheet name="Loss Development Triangle" sheetId="9" r:id="rId3"/>
    <sheet name="2. Index" sheetId="1" r:id="rId4"/>
    <sheet name="3. Theft" sheetId="2" r:id="rId5"/>
    <sheet name="4. Wind-Hail" sheetId="3" r:id="rId6"/>
    <sheet name="5. Water_Damage" sheetId="4" r:id="rId7"/>
    <sheet name="6. Flood" sheetId="5" r:id="rId8"/>
    <sheet name="7. Fire" sheetId="6" r:id="rId9"/>
  </sheets>
  <definedNames>
    <definedName name="_xlnm._FilterDatabase" localSheetId="0" hidden="1">'1. ENC - Home Dataset'!$A$1:$E$499</definedName>
    <definedName name="_xlnm._FilterDatabase" localSheetId="1" hidden="1">'1. ENC - Home Dataset (2)'!$A$1:$DF$499</definedName>
    <definedName name="_xleta.ISEVEN" hidden="1" xlm="1">#NAME?</definedName>
    <definedName name="_xleta.MOD" hidden="1" xlm="1">#NAME?</definedName>
    <definedName name="_xleta.SUM" hidden="1" xlm="1">#NAME?</definedName>
    <definedName name="_xleta.YEAR" hidden="1" xlm="1">#NAME?</definedName>
    <definedName name="accident_year">'1. ENC - Home Dataset (2)'!$C$3:$C$499</definedName>
    <definedName name="claim_type">'1. ENC - Home Dataset (2)'!$B$3:$B$499</definedName>
    <definedName name="total_claim_payment">'1. ENC - Home Dataset (2)'!$DG$18+'1. ENC - Home Dataset (2)'!$DF$3:$DF$499</definedName>
    <definedName name="yearly_total_payments">'1. ENC - Home Dataset (2)'!$CX$3:$DE$499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16" i="9" l="1"/>
  <c r="N16" i="9"/>
  <c r="M16" i="9"/>
  <c r="L16" i="9"/>
  <c r="K16" i="9"/>
  <c r="J16" i="9"/>
  <c r="I16" i="9"/>
  <c r="DL31" i="8" a="1"/>
  <c r="DL31" i="8" s="1"/>
  <c r="DL35" i="8" a="1"/>
  <c r="DL35" i="8" s="1"/>
  <c r="O5" i="9"/>
  <c r="N5" i="9"/>
  <c r="M5" i="9"/>
  <c r="L5" i="9"/>
  <c r="K5" i="9"/>
  <c r="J5" i="9"/>
  <c r="H5" i="9"/>
  <c r="I5" i="9"/>
  <c r="CX9" i="8" l="1"/>
  <c r="DE499" i="8"/>
  <c r="DD499" i="8"/>
  <c r="DC499" i="8"/>
  <c r="DB499" i="8"/>
  <c r="DA499" i="8"/>
  <c r="CZ499" i="8"/>
  <c r="CY499" i="8"/>
  <c r="CX499" i="8"/>
  <c r="DE498" i="8"/>
  <c r="DD498" i="8"/>
  <c r="DC498" i="8"/>
  <c r="DB498" i="8"/>
  <c r="DA498" i="8"/>
  <c r="CZ498" i="8"/>
  <c r="CY498" i="8"/>
  <c r="CX498" i="8"/>
  <c r="DE497" i="8"/>
  <c r="DD497" i="8"/>
  <c r="DC497" i="8"/>
  <c r="DB497" i="8"/>
  <c r="DA497" i="8"/>
  <c r="CZ497" i="8"/>
  <c r="CY497" i="8"/>
  <c r="CX497" i="8"/>
  <c r="DE496" i="8"/>
  <c r="DD496" i="8"/>
  <c r="DC496" i="8"/>
  <c r="DB496" i="8"/>
  <c r="DA496" i="8"/>
  <c r="CZ496" i="8"/>
  <c r="CY496" i="8"/>
  <c r="CX496" i="8"/>
  <c r="DE495" i="8"/>
  <c r="DD495" i="8"/>
  <c r="DC495" i="8"/>
  <c r="DB495" i="8"/>
  <c r="DA495" i="8"/>
  <c r="CZ495" i="8"/>
  <c r="CY495" i="8"/>
  <c r="CX495" i="8"/>
  <c r="DE494" i="8"/>
  <c r="DD494" i="8"/>
  <c r="DC494" i="8"/>
  <c r="DB494" i="8"/>
  <c r="DA494" i="8"/>
  <c r="CZ494" i="8"/>
  <c r="CY494" i="8"/>
  <c r="CX494" i="8"/>
  <c r="DE493" i="8"/>
  <c r="DD493" i="8"/>
  <c r="DC493" i="8"/>
  <c r="DB493" i="8"/>
  <c r="DA493" i="8"/>
  <c r="CZ493" i="8"/>
  <c r="CY493" i="8"/>
  <c r="CX493" i="8"/>
  <c r="DE492" i="8"/>
  <c r="DD492" i="8"/>
  <c r="DC492" i="8"/>
  <c r="DB492" i="8"/>
  <c r="DA492" i="8"/>
  <c r="CZ492" i="8"/>
  <c r="CY492" i="8"/>
  <c r="CX492" i="8"/>
  <c r="DE491" i="8"/>
  <c r="DD491" i="8"/>
  <c r="DC491" i="8"/>
  <c r="DB491" i="8"/>
  <c r="DA491" i="8"/>
  <c r="CZ491" i="8"/>
  <c r="CY491" i="8"/>
  <c r="CX491" i="8"/>
  <c r="DE490" i="8"/>
  <c r="DD490" i="8"/>
  <c r="DC490" i="8"/>
  <c r="DB490" i="8"/>
  <c r="DA490" i="8"/>
  <c r="CZ490" i="8"/>
  <c r="CY490" i="8"/>
  <c r="CX490" i="8"/>
  <c r="DE489" i="8"/>
  <c r="DD489" i="8"/>
  <c r="DC489" i="8"/>
  <c r="DB489" i="8"/>
  <c r="DA489" i="8"/>
  <c r="CZ489" i="8"/>
  <c r="CY489" i="8"/>
  <c r="CX489" i="8"/>
  <c r="DE488" i="8"/>
  <c r="DD488" i="8"/>
  <c r="DC488" i="8"/>
  <c r="DB488" i="8"/>
  <c r="DA488" i="8"/>
  <c r="CZ488" i="8"/>
  <c r="CY488" i="8"/>
  <c r="CX488" i="8"/>
  <c r="DE487" i="8"/>
  <c r="DD487" i="8"/>
  <c r="DC487" i="8"/>
  <c r="DB487" i="8"/>
  <c r="DA487" i="8"/>
  <c r="CZ487" i="8"/>
  <c r="CY487" i="8"/>
  <c r="CX487" i="8"/>
  <c r="DE486" i="8"/>
  <c r="DD486" i="8"/>
  <c r="DC486" i="8"/>
  <c r="DB486" i="8"/>
  <c r="DA486" i="8"/>
  <c r="CZ486" i="8"/>
  <c r="CY486" i="8"/>
  <c r="CX486" i="8"/>
  <c r="DE485" i="8"/>
  <c r="DD485" i="8"/>
  <c r="DC485" i="8"/>
  <c r="DB485" i="8"/>
  <c r="DA485" i="8"/>
  <c r="CZ485" i="8"/>
  <c r="CY485" i="8"/>
  <c r="CX485" i="8"/>
  <c r="DE484" i="8"/>
  <c r="DD484" i="8"/>
  <c r="DC484" i="8"/>
  <c r="DB484" i="8"/>
  <c r="DA484" i="8"/>
  <c r="CZ484" i="8"/>
  <c r="CY484" i="8"/>
  <c r="CX484" i="8"/>
  <c r="DE483" i="8"/>
  <c r="DD483" i="8"/>
  <c r="DC483" i="8"/>
  <c r="DB483" i="8"/>
  <c r="DA483" i="8"/>
  <c r="CZ483" i="8"/>
  <c r="CY483" i="8"/>
  <c r="CX483" i="8"/>
  <c r="DE482" i="8"/>
  <c r="DD482" i="8"/>
  <c r="DC482" i="8"/>
  <c r="DB482" i="8"/>
  <c r="DA482" i="8"/>
  <c r="CZ482" i="8"/>
  <c r="CY482" i="8"/>
  <c r="CX482" i="8"/>
  <c r="DE481" i="8"/>
  <c r="DD481" i="8"/>
  <c r="DC481" i="8"/>
  <c r="DB481" i="8"/>
  <c r="DA481" i="8"/>
  <c r="CZ481" i="8"/>
  <c r="CY481" i="8"/>
  <c r="CX481" i="8"/>
  <c r="DE480" i="8"/>
  <c r="DD480" i="8"/>
  <c r="DC480" i="8"/>
  <c r="DB480" i="8"/>
  <c r="DA480" i="8"/>
  <c r="CZ480" i="8"/>
  <c r="CY480" i="8"/>
  <c r="CX480" i="8"/>
  <c r="DE479" i="8"/>
  <c r="DD479" i="8"/>
  <c r="DC479" i="8"/>
  <c r="DB479" i="8"/>
  <c r="DA479" i="8"/>
  <c r="CZ479" i="8"/>
  <c r="CY479" i="8"/>
  <c r="CX479" i="8"/>
  <c r="DE478" i="8"/>
  <c r="DD478" i="8"/>
  <c r="DC478" i="8"/>
  <c r="DB478" i="8"/>
  <c r="DA478" i="8"/>
  <c r="CZ478" i="8"/>
  <c r="CY478" i="8"/>
  <c r="CX478" i="8"/>
  <c r="DE477" i="8"/>
  <c r="DD477" i="8"/>
  <c r="DC477" i="8"/>
  <c r="DB477" i="8"/>
  <c r="DA477" i="8"/>
  <c r="CZ477" i="8"/>
  <c r="CY477" i="8"/>
  <c r="CX477" i="8"/>
  <c r="DE476" i="8"/>
  <c r="DD476" i="8"/>
  <c r="DC476" i="8"/>
  <c r="DB476" i="8"/>
  <c r="DA476" i="8"/>
  <c r="CZ476" i="8"/>
  <c r="CY476" i="8"/>
  <c r="CX476" i="8"/>
  <c r="DE475" i="8"/>
  <c r="DD475" i="8"/>
  <c r="DC475" i="8"/>
  <c r="DB475" i="8"/>
  <c r="DA475" i="8"/>
  <c r="CZ475" i="8"/>
  <c r="CY475" i="8"/>
  <c r="CX475" i="8"/>
  <c r="DE474" i="8"/>
  <c r="DD474" i="8"/>
  <c r="DC474" i="8"/>
  <c r="DB474" i="8"/>
  <c r="DA474" i="8"/>
  <c r="CZ474" i="8"/>
  <c r="CY474" i="8"/>
  <c r="CX474" i="8"/>
  <c r="DE473" i="8"/>
  <c r="DD473" i="8"/>
  <c r="DC473" i="8"/>
  <c r="DB473" i="8"/>
  <c r="DA473" i="8"/>
  <c r="CZ473" i="8"/>
  <c r="CY473" i="8"/>
  <c r="CX473" i="8"/>
  <c r="DE472" i="8"/>
  <c r="DD472" i="8"/>
  <c r="DC472" i="8"/>
  <c r="DB472" i="8"/>
  <c r="DA472" i="8"/>
  <c r="CZ472" i="8"/>
  <c r="CY472" i="8"/>
  <c r="CX472" i="8"/>
  <c r="DE471" i="8"/>
  <c r="DD471" i="8"/>
  <c r="DC471" i="8"/>
  <c r="DB471" i="8"/>
  <c r="DA471" i="8"/>
  <c r="CZ471" i="8"/>
  <c r="CY471" i="8"/>
  <c r="CX471" i="8"/>
  <c r="DE470" i="8"/>
  <c r="DD470" i="8"/>
  <c r="DC470" i="8"/>
  <c r="DB470" i="8"/>
  <c r="DA470" i="8"/>
  <c r="CZ470" i="8"/>
  <c r="CY470" i="8"/>
  <c r="CX470" i="8"/>
  <c r="DE469" i="8"/>
  <c r="DD469" i="8"/>
  <c r="DC469" i="8"/>
  <c r="DB469" i="8"/>
  <c r="DA469" i="8"/>
  <c r="CZ469" i="8"/>
  <c r="CY469" i="8"/>
  <c r="CX469" i="8"/>
  <c r="DE468" i="8"/>
  <c r="DD468" i="8"/>
  <c r="DC468" i="8"/>
  <c r="DB468" i="8"/>
  <c r="DA468" i="8"/>
  <c r="CZ468" i="8"/>
  <c r="CY468" i="8"/>
  <c r="CX468" i="8"/>
  <c r="DE467" i="8"/>
  <c r="DD467" i="8"/>
  <c r="DC467" i="8"/>
  <c r="DB467" i="8"/>
  <c r="DA467" i="8"/>
  <c r="CZ467" i="8"/>
  <c r="CY467" i="8"/>
  <c r="CX467" i="8"/>
  <c r="DE466" i="8"/>
  <c r="DD466" i="8"/>
  <c r="DC466" i="8"/>
  <c r="DB466" i="8"/>
  <c r="DA466" i="8"/>
  <c r="CZ466" i="8"/>
  <c r="CY466" i="8"/>
  <c r="CX466" i="8"/>
  <c r="DE465" i="8"/>
  <c r="DD465" i="8"/>
  <c r="DC465" i="8"/>
  <c r="DB465" i="8"/>
  <c r="DA465" i="8"/>
  <c r="CZ465" i="8"/>
  <c r="CY465" i="8"/>
  <c r="CX465" i="8"/>
  <c r="DE464" i="8"/>
  <c r="DD464" i="8"/>
  <c r="DC464" i="8"/>
  <c r="DB464" i="8"/>
  <c r="DA464" i="8"/>
  <c r="CZ464" i="8"/>
  <c r="CY464" i="8"/>
  <c r="CX464" i="8"/>
  <c r="DE463" i="8"/>
  <c r="DD463" i="8"/>
  <c r="DC463" i="8"/>
  <c r="DB463" i="8"/>
  <c r="DA463" i="8"/>
  <c r="CZ463" i="8"/>
  <c r="CY463" i="8"/>
  <c r="CX463" i="8"/>
  <c r="DE462" i="8"/>
  <c r="DD462" i="8"/>
  <c r="DC462" i="8"/>
  <c r="DB462" i="8"/>
  <c r="DA462" i="8"/>
  <c r="CZ462" i="8"/>
  <c r="CY462" i="8"/>
  <c r="CX462" i="8"/>
  <c r="DE461" i="8"/>
  <c r="DD461" i="8"/>
  <c r="DC461" i="8"/>
  <c r="DB461" i="8"/>
  <c r="DA461" i="8"/>
  <c r="CZ461" i="8"/>
  <c r="CY461" i="8"/>
  <c r="CX461" i="8"/>
  <c r="DE460" i="8"/>
  <c r="DD460" i="8"/>
  <c r="DC460" i="8"/>
  <c r="DB460" i="8"/>
  <c r="DA460" i="8"/>
  <c r="CZ460" i="8"/>
  <c r="CY460" i="8"/>
  <c r="CX460" i="8"/>
  <c r="DE459" i="8"/>
  <c r="DD459" i="8"/>
  <c r="DC459" i="8"/>
  <c r="DB459" i="8"/>
  <c r="DA459" i="8"/>
  <c r="CZ459" i="8"/>
  <c r="CY459" i="8"/>
  <c r="CX459" i="8"/>
  <c r="DE458" i="8"/>
  <c r="DD458" i="8"/>
  <c r="DC458" i="8"/>
  <c r="DB458" i="8"/>
  <c r="DA458" i="8"/>
  <c r="CZ458" i="8"/>
  <c r="CY458" i="8"/>
  <c r="CX458" i="8"/>
  <c r="DE457" i="8"/>
  <c r="DD457" i="8"/>
  <c r="DC457" i="8"/>
  <c r="DB457" i="8"/>
  <c r="DA457" i="8"/>
  <c r="CZ457" i="8"/>
  <c r="CY457" i="8"/>
  <c r="CX457" i="8"/>
  <c r="DE456" i="8"/>
  <c r="DD456" i="8"/>
  <c r="DC456" i="8"/>
  <c r="DB456" i="8"/>
  <c r="DA456" i="8"/>
  <c r="CZ456" i="8"/>
  <c r="CY456" i="8"/>
  <c r="CX456" i="8"/>
  <c r="DE455" i="8"/>
  <c r="DD455" i="8"/>
  <c r="DC455" i="8"/>
  <c r="DB455" i="8"/>
  <c r="DA455" i="8"/>
  <c r="CZ455" i="8"/>
  <c r="CY455" i="8"/>
  <c r="CX455" i="8"/>
  <c r="DE454" i="8"/>
  <c r="DD454" i="8"/>
  <c r="DC454" i="8"/>
  <c r="DB454" i="8"/>
  <c r="DA454" i="8"/>
  <c r="CZ454" i="8"/>
  <c r="CY454" i="8"/>
  <c r="CX454" i="8"/>
  <c r="DE453" i="8"/>
  <c r="DD453" i="8"/>
  <c r="DC453" i="8"/>
  <c r="DB453" i="8"/>
  <c r="DA453" i="8"/>
  <c r="CZ453" i="8"/>
  <c r="CY453" i="8"/>
  <c r="CX453" i="8"/>
  <c r="DE452" i="8"/>
  <c r="DD452" i="8"/>
  <c r="DC452" i="8"/>
  <c r="DB452" i="8"/>
  <c r="DA452" i="8"/>
  <c r="CZ452" i="8"/>
  <c r="CY452" i="8"/>
  <c r="CX452" i="8"/>
  <c r="DE451" i="8"/>
  <c r="DD451" i="8"/>
  <c r="DC451" i="8"/>
  <c r="DB451" i="8"/>
  <c r="DA451" i="8"/>
  <c r="CZ451" i="8"/>
  <c r="CY451" i="8"/>
  <c r="CX451" i="8"/>
  <c r="DE450" i="8"/>
  <c r="DD450" i="8"/>
  <c r="DC450" i="8"/>
  <c r="DB450" i="8"/>
  <c r="DA450" i="8"/>
  <c r="CZ450" i="8"/>
  <c r="CY450" i="8"/>
  <c r="CX450" i="8"/>
  <c r="DE449" i="8"/>
  <c r="DD449" i="8"/>
  <c r="DC449" i="8"/>
  <c r="DB449" i="8"/>
  <c r="DA449" i="8"/>
  <c r="CZ449" i="8"/>
  <c r="CY449" i="8"/>
  <c r="CX449" i="8"/>
  <c r="DE448" i="8"/>
  <c r="DD448" i="8"/>
  <c r="DC448" i="8"/>
  <c r="DB448" i="8"/>
  <c r="DA448" i="8"/>
  <c r="CZ448" i="8"/>
  <c r="CY448" i="8"/>
  <c r="CX448" i="8"/>
  <c r="DE447" i="8"/>
  <c r="DD447" i="8"/>
  <c r="DC447" i="8"/>
  <c r="DB447" i="8"/>
  <c r="DA447" i="8"/>
  <c r="CZ447" i="8"/>
  <c r="CY447" i="8"/>
  <c r="CX447" i="8"/>
  <c r="DE446" i="8"/>
  <c r="DD446" i="8"/>
  <c r="DC446" i="8"/>
  <c r="DB446" i="8"/>
  <c r="DA446" i="8"/>
  <c r="CZ446" i="8"/>
  <c r="CY446" i="8"/>
  <c r="CX446" i="8"/>
  <c r="DE445" i="8"/>
  <c r="DD445" i="8"/>
  <c r="DC445" i="8"/>
  <c r="DB445" i="8"/>
  <c r="DA445" i="8"/>
  <c r="CZ445" i="8"/>
  <c r="CY445" i="8"/>
  <c r="CX445" i="8"/>
  <c r="DE444" i="8"/>
  <c r="DD444" i="8"/>
  <c r="DC444" i="8"/>
  <c r="DB444" i="8"/>
  <c r="DA444" i="8"/>
  <c r="CZ444" i="8"/>
  <c r="CY444" i="8"/>
  <c r="CX444" i="8"/>
  <c r="DE443" i="8"/>
  <c r="DD443" i="8"/>
  <c r="DC443" i="8"/>
  <c r="DB443" i="8"/>
  <c r="DA443" i="8"/>
  <c r="CZ443" i="8"/>
  <c r="CY443" i="8"/>
  <c r="CX443" i="8"/>
  <c r="DE442" i="8"/>
  <c r="DD442" i="8"/>
  <c r="DC442" i="8"/>
  <c r="DB442" i="8"/>
  <c r="DA442" i="8"/>
  <c r="CZ442" i="8"/>
  <c r="CY442" i="8"/>
  <c r="CX442" i="8"/>
  <c r="DE441" i="8"/>
  <c r="DD441" i="8"/>
  <c r="DC441" i="8"/>
  <c r="DB441" i="8"/>
  <c r="DA441" i="8"/>
  <c r="CZ441" i="8"/>
  <c r="CY441" i="8"/>
  <c r="CX441" i="8"/>
  <c r="DE440" i="8"/>
  <c r="DD440" i="8"/>
  <c r="DC440" i="8"/>
  <c r="DB440" i="8"/>
  <c r="DA440" i="8"/>
  <c r="CZ440" i="8"/>
  <c r="CY440" i="8"/>
  <c r="CX440" i="8"/>
  <c r="DE439" i="8"/>
  <c r="DD439" i="8"/>
  <c r="DC439" i="8"/>
  <c r="DB439" i="8"/>
  <c r="DA439" i="8"/>
  <c r="CZ439" i="8"/>
  <c r="CY439" i="8"/>
  <c r="CX439" i="8"/>
  <c r="DE438" i="8"/>
  <c r="DD438" i="8"/>
  <c r="DC438" i="8"/>
  <c r="DB438" i="8"/>
  <c r="DA438" i="8"/>
  <c r="CZ438" i="8"/>
  <c r="CY438" i="8"/>
  <c r="CX438" i="8"/>
  <c r="DE437" i="8"/>
  <c r="DD437" i="8"/>
  <c r="DC437" i="8"/>
  <c r="DB437" i="8"/>
  <c r="DA437" i="8"/>
  <c r="CZ437" i="8"/>
  <c r="CY437" i="8"/>
  <c r="CX437" i="8"/>
  <c r="DE436" i="8"/>
  <c r="DD436" i="8"/>
  <c r="DC436" i="8"/>
  <c r="DB436" i="8"/>
  <c r="DA436" i="8"/>
  <c r="CZ436" i="8"/>
  <c r="CY436" i="8"/>
  <c r="CX436" i="8"/>
  <c r="DE435" i="8"/>
  <c r="DD435" i="8"/>
  <c r="DC435" i="8"/>
  <c r="DB435" i="8"/>
  <c r="DA435" i="8"/>
  <c r="CZ435" i="8"/>
  <c r="CY435" i="8"/>
  <c r="CX435" i="8"/>
  <c r="DE434" i="8"/>
  <c r="DD434" i="8"/>
  <c r="DC434" i="8"/>
  <c r="DB434" i="8"/>
  <c r="DA434" i="8"/>
  <c r="CZ434" i="8"/>
  <c r="CY434" i="8"/>
  <c r="CX434" i="8"/>
  <c r="DE433" i="8"/>
  <c r="DD433" i="8"/>
  <c r="DC433" i="8"/>
  <c r="DB433" i="8"/>
  <c r="DA433" i="8"/>
  <c r="CZ433" i="8"/>
  <c r="CY433" i="8"/>
  <c r="CX433" i="8"/>
  <c r="DE432" i="8"/>
  <c r="DD432" i="8"/>
  <c r="DC432" i="8"/>
  <c r="DB432" i="8"/>
  <c r="DA432" i="8"/>
  <c r="CZ432" i="8"/>
  <c r="CY432" i="8"/>
  <c r="CX432" i="8"/>
  <c r="DE431" i="8"/>
  <c r="DD431" i="8"/>
  <c r="DC431" i="8"/>
  <c r="DB431" i="8"/>
  <c r="DA431" i="8"/>
  <c r="CZ431" i="8"/>
  <c r="CY431" i="8"/>
  <c r="CX431" i="8"/>
  <c r="DE430" i="8"/>
  <c r="DD430" i="8"/>
  <c r="DC430" i="8"/>
  <c r="DB430" i="8"/>
  <c r="DA430" i="8"/>
  <c r="CZ430" i="8"/>
  <c r="CY430" i="8"/>
  <c r="CX430" i="8"/>
  <c r="DE429" i="8"/>
  <c r="DD429" i="8"/>
  <c r="DC429" i="8"/>
  <c r="DB429" i="8"/>
  <c r="DA429" i="8"/>
  <c r="CZ429" i="8"/>
  <c r="CY429" i="8"/>
  <c r="CX429" i="8"/>
  <c r="DE428" i="8"/>
  <c r="DD428" i="8"/>
  <c r="DC428" i="8"/>
  <c r="DB428" i="8"/>
  <c r="DA428" i="8"/>
  <c r="CZ428" i="8"/>
  <c r="CY428" i="8"/>
  <c r="CX428" i="8"/>
  <c r="DE427" i="8"/>
  <c r="DD427" i="8"/>
  <c r="DC427" i="8"/>
  <c r="DB427" i="8"/>
  <c r="DA427" i="8"/>
  <c r="CZ427" i="8"/>
  <c r="CY427" i="8"/>
  <c r="CX427" i="8"/>
  <c r="DE426" i="8"/>
  <c r="DD426" i="8"/>
  <c r="DC426" i="8"/>
  <c r="DB426" i="8"/>
  <c r="DA426" i="8"/>
  <c r="CZ426" i="8"/>
  <c r="CY426" i="8"/>
  <c r="CX426" i="8"/>
  <c r="DE425" i="8"/>
  <c r="DD425" i="8"/>
  <c r="DC425" i="8"/>
  <c r="DB425" i="8"/>
  <c r="DA425" i="8"/>
  <c r="CZ425" i="8"/>
  <c r="CY425" i="8"/>
  <c r="CX425" i="8"/>
  <c r="DE424" i="8"/>
  <c r="DD424" i="8"/>
  <c r="DC424" i="8"/>
  <c r="DB424" i="8"/>
  <c r="DA424" i="8"/>
  <c r="CZ424" i="8"/>
  <c r="CY424" i="8"/>
  <c r="CX424" i="8"/>
  <c r="DE423" i="8"/>
  <c r="DD423" i="8"/>
  <c r="DC423" i="8"/>
  <c r="DB423" i="8"/>
  <c r="DA423" i="8"/>
  <c r="CZ423" i="8"/>
  <c r="CY423" i="8"/>
  <c r="CX423" i="8"/>
  <c r="DE422" i="8"/>
  <c r="DD422" i="8"/>
  <c r="DC422" i="8"/>
  <c r="DB422" i="8"/>
  <c r="DA422" i="8"/>
  <c r="CZ422" i="8"/>
  <c r="CY422" i="8"/>
  <c r="CX422" i="8"/>
  <c r="DE421" i="8"/>
  <c r="DD421" i="8"/>
  <c r="DC421" i="8"/>
  <c r="DB421" i="8"/>
  <c r="DA421" i="8"/>
  <c r="CZ421" i="8"/>
  <c r="CY421" i="8"/>
  <c r="CX421" i="8"/>
  <c r="DE420" i="8"/>
  <c r="DD420" i="8"/>
  <c r="DC420" i="8"/>
  <c r="DB420" i="8"/>
  <c r="DA420" i="8"/>
  <c r="CZ420" i="8"/>
  <c r="CY420" i="8"/>
  <c r="CX420" i="8"/>
  <c r="DE419" i="8"/>
  <c r="DD419" i="8"/>
  <c r="DC419" i="8"/>
  <c r="DB419" i="8"/>
  <c r="DA419" i="8"/>
  <c r="CZ419" i="8"/>
  <c r="CY419" i="8"/>
  <c r="CX419" i="8"/>
  <c r="DE418" i="8"/>
  <c r="DD418" i="8"/>
  <c r="DC418" i="8"/>
  <c r="DB418" i="8"/>
  <c r="DA418" i="8"/>
  <c r="CZ418" i="8"/>
  <c r="CY418" i="8"/>
  <c r="CX418" i="8"/>
  <c r="DE417" i="8"/>
  <c r="DD417" i="8"/>
  <c r="DC417" i="8"/>
  <c r="DB417" i="8"/>
  <c r="DA417" i="8"/>
  <c r="CZ417" i="8"/>
  <c r="CY417" i="8"/>
  <c r="CX417" i="8"/>
  <c r="DE416" i="8"/>
  <c r="DD416" i="8"/>
  <c r="DC416" i="8"/>
  <c r="DB416" i="8"/>
  <c r="DA416" i="8"/>
  <c r="CZ416" i="8"/>
  <c r="CY416" i="8"/>
  <c r="CX416" i="8"/>
  <c r="DE415" i="8"/>
  <c r="DD415" i="8"/>
  <c r="DC415" i="8"/>
  <c r="DB415" i="8"/>
  <c r="DA415" i="8"/>
  <c r="CZ415" i="8"/>
  <c r="CY415" i="8"/>
  <c r="CX415" i="8"/>
  <c r="DE414" i="8"/>
  <c r="DD414" i="8"/>
  <c r="DC414" i="8"/>
  <c r="DB414" i="8"/>
  <c r="DA414" i="8"/>
  <c r="CZ414" i="8"/>
  <c r="CY414" i="8"/>
  <c r="CX414" i="8"/>
  <c r="DE413" i="8"/>
  <c r="DD413" i="8"/>
  <c r="DC413" i="8"/>
  <c r="DB413" i="8"/>
  <c r="DA413" i="8"/>
  <c r="CZ413" i="8"/>
  <c r="CY413" i="8"/>
  <c r="CX413" i="8"/>
  <c r="DE412" i="8"/>
  <c r="DD412" i="8"/>
  <c r="DC412" i="8"/>
  <c r="DB412" i="8"/>
  <c r="DA412" i="8"/>
  <c r="CZ412" i="8"/>
  <c r="CY412" i="8"/>
  <c r="CX412" i="8"/>
  <c r="DE411" i="8"/>
  <c r="DD411" i="8"/>
  <c r="DC411" i="8"/>
  <c r="DB411" i="8"/>
  <c r="DA411" i="8"/>
  <c r="CZ411" i="8"/>
  <c r="CY411" i="8"/>
  <c r="CX411" i="8"/>
  <c r="DE410" i="8"/>
  <c r="DD410" i="8"/>
  <c r="DC410" i="8"/>
  <c r="DB410" i="8"/>
  <c r="DA410" i="8"/>
  <c r="CZ410" i="8"/>
  <c r="CY410" i="8"/>
  <c r="CX410" i="8"/>
  <c r="DE409" i="8"/>
  <c r="DD409" i="8"/>
  <c r="DC409" i="8"/>
  <c r="DB409" i="8"/>
  <c r="DA409" i="8"/>
  <c r="CZ409" i="8"/>
  <c r="CY409" i="8"/>
  <c r="CX409" i="8"/>
  <c r="DE408" i="8"/>
  <c r="DD408" i="8"/>
  <c r="DC408" i="8"/>
  <c r="DB408" i="8"/>
  <c r="DA408" i="8"/>
  <c r="CZ408" i="8"/>
  <c r="CY408" i="8"/>
  <c r="CX408" i="8"/>
  <c r="DE407" i="8"/>
  <c r="DD407" i="8"/>
  <c r="DC407" i="8"/>
  <c r="DB407" i="8"/>
  <c r="DA407" i="8"/>
  <c r="CZ407" i="8"/>
  <c r="CY407" i="8"/>
  <c r="CX407" i="8"/>
  <c r="DE406" i="8"/>
  <c r="DD406" i="8"/>
  <c r="DC406" i="8"/>
  <c r="DB406" i="8"/>
  <c r="DA406" i="8"/>
  <c r="CZ406" i="8"/>
  <c r="CY406" i="8"/>
  <c r="CX406" i="8"/>
  <c r="DE405" i="8"/>
  <c r="DD405" i="8"/>
  <c r="DC405" i="8"/>
  <c r="DB405" i="8"/>
  <c r="DA405" i="8"/>
  <c r="CZ405" i="8"/>
  <c r="CY405" i="8"/>
  <c r="CX405" i="8"/>
  <c r="DE404" i="8"/>
  <c r="DD404" i="8"/>
  <c r="DC404" i="8"/>
  <c r="DB404" i="8"/>
  <c r="DA404" i="8"/>
  <c r="CZ404" i="8"/>
  <c r="CY404" i="8"/>
  <c r="CX404" i="8"/>
  <c r="DE403" i="8"/>
  <c r="DD403" i="8"/>
  <c r="DC403" i="8"/>
  <c r="DB403" i="8"/>
  <c r="DA403" i="8"/>
  <c r="CZ403" i="8"/>
  <c r="CY403" i="8"/>
  <c r="CX403" i="8"/>
  <c r="DE402" i="8"/>
  <c r="DD402" i="8"/>
  <c r="DC402" i="8"/>
  <c r="DB402" i="8"/>
  <c r="DA402" i="8"/>
  <c r="CZ402" i="8"/>
  <c r="CY402" i="8"/>
  <c r="CX402" i="8"/>
  <c r="DE401" i="8"/>
  <c r="DD401" i="8"/>
  <c r="DC401" i="8"/>
  <c r="DB401" i="8"/>
  <c r="DA401" i="8"/>
  <c r="CZ401" i="8"/>
  <c r="CY401" i="8"/>
  <c r="CX401" i="8"/>
  <c r="DE400" i="8"/>
  <c r="DD400" i="8"/>
  <c r="DC400" i="8"/>
  <c r="DB400" i="8"/>
  <c r="DA400" i="8"/>
  <c r="CZ400" i="8"/>
  <c r="CY400" i="8"/>
  <c r="CX400" i="8"/>
  <c r="DE399" i="8"/>
  <c r="DD399" i="8"/>
  <c r="DC399" i="8"/>
  <c r="DB399" i="8"/>
  <c r="DA399" i="8"/>
  <c r="CZ399" i="8"/>
  <c r="CY399" i="8"/>
  <c r="CX399" i="8"/>
  <c r="DE398" i="8"/>
  <c r="DD398" i="8"/>
  <c r="DC398" i="8"/>
  <c r="DB398" i="8"/>
  <c r="DA398" i="8"/>
  <c r="CZ398" i="8"/>
  <c r="CY398" i="8"/>
  <c r="CX398" i="8"/>
  <c r="DE397" i="8"/>
  <c r="DD397" i="8"/>
  <c r="DC397" i="8"/>
  <c r="DB397" i="8"/>
  <c r="DA397" i="8"/>
  <c r="CZ397" i="8"/>
  <c r="CY397" i="8"/>
  <c r="CX397" i="8"/>
  <c r="DE396" i="8"/>
  <c r="DD396" i="8"/>
  <c r="DC396" i="8"/>
  <c r="DB396" i="8"/>
  <c r="DA396" i="8"/>
  <c r="CZ396" i="8"/>
  <c r="CY396" i="8"/>
  <c r="CX396" i="8"/>
  <c r="DE395" i="8"/>
  <c r="DD395" i="8"/>
  <c r="DC395" i="8"/>
  <c r="DB395" i="8"/>
  <c r="DA395" i="8"/>
  <c r="CZ395" i="8"/>
  <c r="CY395" i="8"/>
  <c r="CX395" i="8"/>
  <c r="DE394" i="8"/>
  <c r="DD394" i="8"/>
  <c r="DC394" i="8"/>
  <c r="DB394" i="8"/>
  <c r="DA394" i="8"/>
  <c r="CZ394" i="8"/>
  <c r="CY394" i="8"/>
  <c r="CX394" i="8"/>
  <c r="DE393" i="8"/>
  <c r="DD393" i="8"/>
  <c r="DC393" i="8"/>
  <c r="DB393" i="8"/>
  <c r="DA393" i="8"/>
  <c r="CZ393" i="8"/>
  <c r="CY393" i="8"/>
  <c r="CX393" i="8"/>
  <c r="DE392" i="8"/>
  <c r="DD392" i="8"/>
  <c r="DC392" i="8"/>
  <c r="DB392" i="8"/>
  <c r="DA392" i="8"/>
  <c r="CZ392" i="8"/>
  <c r="CY392" i="8"/>
  <c r="CX392" i="8"/>
  <c r="DE391" i="8"/>
  <c r="DD391" i="8"/>
  <c r="DC391" i="8"/>
  <c r="DB391" i="8"/>
  <c r="DA391" i="8"/>
  <c r="CZ391" i="8"/>
  <c r="CY391" i="8"/>
  <c r="CX391" i="8"/>
  <c r="DE390" i="8"/>
  <c r="DD390" i="8"/>
  <c r="DC390" i="8"/>
  <c r="DB390" i="8"/>
  <c r="DA390" i="8"/>
  <c r="CZ390" i="8"/>
  <c r="CY390" i="8"/>
  <c r="CX390" i="8"/>
  <c r="DE389" i="8"/>
  <c r="DD389" i="8"/>
  <c r="DC389" i="8"/>
  <c r="DB389" i="8"/>
  <c r="DA389" i="8"/>
  <c r="CZ389" i="8"/>
  <c r="CY389" i="8"/>
  <c r="CX389" i="8"/>
  <c r="DE388" i="8"/>
  <c r="DD388" i="8"/>
  <c r="DC388" i="8"/>
  <c r="DB388" i="8"/>
  <c r="DA388" i="8"/>
  <c r="CZ388" i="8"/>
  <c r="CY388" i="8"/>
  <c r="CX388" i="8"/>
  <c r="DE387" i="8"/>
  <c r="DD387" i="8"/>
  <c r="DC387" i="8"/>
  <c r="DB387" i="8"/>
  <c r="DA387" i="8"/>
  <c r="CZ387" i="8"/>
  <c r="CY387" i="8"/>
  <c r="CX387" i="8"/>
  <c r="DE386" i="8"/>
  <c r="DD386" i="8"/>
  <c r="DC386" i="8"/>
  <c r="DB386" i="8"/>
  <c r="DA386" i="8"/>
  <c r="CZ386" i="8"/>
  <c r="CY386" i="8"/>
  <c r="CX386" i="8"/>
  <c r="DE385" i="8"/>
  <c r="DD385" i="8"/>
  <c r="DC385" i="8"/>
  <c r="DB385" i="8"/>
  <c r="DA385" i="8"/>
  <c r="CZ385" i="8"/>
  <c r="CY385" i="8"/>
  <c r="CX385" i="8"/>
  <c r="DE384" i="8"/>
  <c r="DD384" i="8"/>
  <c r="DC384" i="8"/>
  <c r="DB384" i="8"/>
  <c r="DA384" i="8"/>
  <c r="CZ384" i="8"/>
  <c r="CY384" i="8"/>
  <c r="CX384" i="8"/>
  <c r="DE383" i="8"/>
  <c r="DD383" i="8"/>
  <c r="DC383" i="8"/>
  <c r="DB383" i="8"/>
  <c r="DA383" i="8"/>
  <c r="CZ383" i="8"/>
  <c r="CY383" i="8"/>
  <c r="CX383" i="8"/>
  <c r="DE382" i="8"/>
  <c r="DD382" i="8"/>
  <c r="DC382" i="8"/>
  <c r="DB382" i="8"/>
  <c r="DA382" i="8"/>
  <c r="CZ382" i="8"/>
  <c r="CY382" i="8"/>
  <c r="CX382" i="8"/>
  <c r="DE381" i="8"/>
  <c r="DD381" i="8"/>
  <c r="DC381" i="8"/>
  <c r="DB381" i="8"/>
  <c r="DA381" i="8"/>
  <c r="CZ381" i="8"/>
  <c r="CY381" i="8"/>
  <c r="CX381" i="8"/>
  <c r="DE380" i="8"/>
  <c r="DD380" i="8"/>
  <c r="DC380" i="8"/>
  <c r="DB380" i="8"/>
  <c r="DA380" i="8"/>
  <c r="CZ380" i="8"/>
  <c r="CY380" i="8"/>
  <c r="CX380" i="8"/>
  <c r="DE379" i="8"/>
  <c r="DD379" i="8"/>
  <c r="DC379" i="8"/>
  <c r="DB379" i="8"/>
  <c r="DA379" i="8"/>
  <c r="CZ379" i="8"/>
  <c r="CY379" i="8"/>
  <c r="CX379" i="8"/>
  <c r="DE378" i="8"/>
  <c r="DD378" i="8"/>
  <c r="DC378" i="8"/>
  <c r="DB378" i="8"/>
  <c r="DA378" i="8"/>
  <c r="CZ378" i="8"/>
  <c r="CY378" i="8"/>
  <c r="CX378" i="8"/>
  <c r="DE377" i="8"/>
  <c r="DD377" i="8"/>
  <c r="DC377" i="8"/>
  <c r="DB377" i="8"/>
  <c r="DA377" i="8"/>
  <c r="CZ377" i="8"/>
  <c r="CY377" i="8"/>
  <c r="CX377" i="8"/>
  <c r="DE376" i="8"/>
  <c r="DD376" i="8"/>
  <c r="DC376" i="8"/>
  <c r="DB376" i="8"/>
  <c r="DA376" i="8"/>
  <c r="CZ376" i="8"/>
  <c r="CY376" i="8"/>
  <c r="CX376" i="8"/>
  <c r="DE375" i="8"/>
  <c r="DD375" i="8"/>
  <c r="DC375" i="8"/>
  <c r="DB375" i="8"/>
  <c r="DA375" i="8"/>
  <c r="CZ375" i="8"/>
  <c r="CY375" i="8"/>
  <c r="CX375" i="8"/>
  <c r="DE374" i="8"/>
  <c r="DD374" i="8"/>
  <c r="DC374" i="8"/>
  <c r="DB374" i="8"/>
  <c r="DA374" i="8"/>
  <c r="CZ374" i="8"/>
  <c r="CY374" i="8"/>
  <c r="CX374" i="8"/>
  <c r="DE373" i="8"/>
  <c r="DD373" i="8"/>
  <c r="DC373" i="8"/>
  <c r="DB373" i="8"/>
  <c r="DA373" i="8"/>
  <c r="CZ373" i="8"/>
  <c r="CY373" i="8"/>
  <c r="CX373" i="8"/>
  <c r="DE372" i="8"/>
  <c r="DD372" i="8"/>
  <c r="DC372" i="8"/>
  <c r="DB372" i="8"/>
  <c r="DA372" i="8"/>
  <c r="CZ372" i="8"/>
  <c r="CY372" i="8"/>
  <c r="CX372" i="8"/>
  <c r="DE371" i="8"/>
  <c r="DD371" i="8"/>
  <c r="DC371" i="8"/>
  <c r="DB371" i="8"/>
  <c r="DA371" i="8"/>
  <c r="CZ371" i="8"/>
  <c r="CY371" i="8"/>
  <c r="CX371" i="8"/>
  <c r="DE370" i="8"/>
  <c r="DD370" i="8"/>
  <c r="DC370" i="8"/>
  <c r="DB370" i="8"/>
  <c r="DA370" i="8"/>
  <c r="CZ370" i="8"/>
  <c r="CY370" i="8"/>
  <c r="CX370" i="8"/>
  <c r="DE369" i="8"/>
  <c r="DD369" i="8"/>
  <c r="DC369" i="8"/>
  <c r="DB369" i="8"/>
  <c r="DA369" i="8"/>
  <c r="CZ369" i="8"/>
  <c r="CY369" i="8"/>
  <c r="CX369" i="8"/>
  <c r="DE368" i="8"/>
  <c r="DD368" i="8"/>
  <c r="DC368" i="8"/>
  <c r="DB368" i="8"/>
  <c r="DA368" i="8"/>
  <c r="CZ368" i="8"/>
  <c r="CY368" i="8"/>
  <c r="CX368" i="8"/>
  <c r="DE367" i="8"/>
  <c r="DD367" i="8"/>
  <c r="DC367" i="8"/>
  <c r="DB367" i="8"/>
  <c r="DA367" i="8"/>
  <c r="CZ367" i="8"/>
  <c r="CY367" i="8"/>
  <c r="CX367" i="8"/>
  <c r="DE366" i="8"/>
  <c r="DD366" i="8"/>
  <c r="DC366" i="8"/>
  <c r="DB366" i="8"/>
  <c r="DA366" i="8"/>
  <c r="CZ366" i="8"/>
  <c r="CY366" i="8"/>
  <c r="CX366" i="8"/>
  <c r="DE365" i="8"/>
  <c r="DD365" i="8"/>
  <c r="DC365" i="8"/>
  <c r="DB365" i="8"/>
  <c r="DA365" i="8"/>
  <c r="CZ365" i="8"/>
  <c r="CY365" i="8"/>
  <c r="CX365" i="8"/>
  <c r="DE364" i="8"/>
  <c r="DD364" i="8"/>
  <c r="DC364" i="8"/>
  <c r="DB364" i="8"/>
  <c r="DA364" i="8"/>
  <c r="CZ364" i="8"/>
  <c r="CY364" i="8"/>
  <c r="CX364" i="8"/>
  <c r="DE363" i="8"/>
  <c r="DD363" i="8"/>
  <c r="DC363" i="8"/>
  <c r="DB363" i="8"/>
  <c r="DA363" i="8"/>
  <c r="CZ363" i="8"/>
  <c r="CY363" i="8"/>
  <c r="CX363" i="8"/>
  <c r="DE362" i="8"/>
  <c r="DD362" i="8"/>
  <c r="DC362" i="8"/>
  <c r="DB362" i="8"/>
  <c r="DA362" i="8"/>
  <c r="CZ362" i="8"/>
  <c r="CY362" i="8"/>
  <c r="CX362" i="8"/>
  <c r="DE361" i="8"/>
  <c r="DD361" i="8"/>
  <c r="DC361" i="8"/>
  <c r="DB361" i="8"/>
  <c r="DA361" i="8"/>
  <c r="CZ361" i="8"/>
  <c r="CY361" i="8"/>
  <c r="CX361" i="8"/>
  <c r="DE360" i="8"/>
  <c r="DD360" i="8"/>
  <c r="DC360" i="8"/>
  <c r="DB360" i="8"/>
  <c r="DA360" i="8"/>
  <c r="CZ360" i="8"/>
  <c r="CY360" i="8"/>
  <c r="CX360" i="8"/>
  <c r="DE359" i="8"/>
  <c r="DD359" i="8"/>
  <c r="DC359" i="8"/>
  <c r="DB359" i="8"/>
  <c r="DA359" i="8"/>
  <c r="CZ359" i="8"/>
  <c r="CY359" i="8"/>
  <c r="CX359" i="8"/>
  <c r="DE358" i="8"/>
  <c r="DD358" i="8"/>
  <c r="DC358" i="8"/>
  <c r="DB358" i="8"/>
  <c r="DA358" i="8"/>
  <c r="CZ358" i="8"/>
  <c r="CY358" i="8"/>
  <c r="CX358" i="8"/>
  <c r="DE357" i="8"/>
  <c r="DD357" i="8"/>
  <c r="DC357" i="8"/>
  <c r="DB357" i="8"/>
  <c r="DA357" i="8"/>
  <c r="CZ357" i="8"/>
  <c r="CY357" i="8"/>
  <c r="CX357" i="8"/>
  <c r="DE356" i="8"/>
  <c r="DD356" i="8"/>
  <c r="DC356" i="8"/>
  <c r="DB356" i="8"/>
  <c r="DA356" i="8"/>
  <c r="CZ356" i="8"/>
  <c r="CY356" i="8"/>
  <c r="CX356" i="8"/>
  <c r="DE355" i="8"/>
  <c r="DD355" i="8"/>
  <c r="DC355" i="8"/>
  <c r="DB355" i="8"/>
  <c r="DA355" i="8"/>
  <c r="CZ355" i="8"/>
  <c r="CY355" i="8"/>
  <c r="CX355" i="8"/>
  <c r="DE354" i="8"/>
  <c r="DD354" i="8"/>
  <c r="DC354" i="8"/>
  <c r="DB354" i="8"/>
  <c r="DA354" i="8"/>
  <c r="CZ354" i="8"/>
  <c r="CY354" i="8"/>
  <c r="CX354" i="8"/>
  <c r="DE353" i="8"/>
  <c r="DD353" i="8"/>
  <c r="DC353" i="8"/>
  <c r="DB353" i="8"/>
  <c r="DA353" i="8"/>
  <c r="CZ353" i="8"/>
  <c r="CY353" i="8"/>
  <c r="CX353" i="8"/>
  <c r="DE352" i="8"/>
  <c r="DD352" i="8"/>
  <c r="DC352" i="8"/>
  <c r="DB352" i="8"/>
  <c r="DA352" i="8"/>
  <c r="CZ352" i="8"/>
  <c r="CY352" i="8"/>
  <c r="CX352" i="8"/>
  <c r="DE351" i="8"/>
  <c r="DD351" i="8"/>
  <c r="DC351" i="8"/>
  <c r="DB351" i="8"/>
  <c r="DA351" i="8"/>
  <c r="CZ351" i="8"/>
  <c r="CY351" i="8"/>
  <c r="CX351" i="8"/>
  <c r="DE350" i="8"/>
  <c r="DD350" i="8"/>
  <c r="DC350" i="8"/>
  <c r="DB350" i="8"/>
  <c r="DA350" i="8"/>
  <c r="CZ350" i="8"/>
  <c r="CY350" i="8"/>
  <c r="CX350" i="8"/>
  <c r="DE349" i="8"/>
  <c r="DD349" i="8"/>
  <c r="DC349" i="8"/>
  <c r="DB349" i="8"/>
  <c r="DA349" i="8"/>
  <c r="CZ349" i="8"/>
  <c r="CY349" i="8"/>
  <c r="CX349" i="8"/>
  <c r="DE348" i="8"/>
  <c r="DD348" i="8"/>
  <c r="DC348" i="8"/>
  <c r="DB348" i="8"/>
  <c r="DA348" i="8"/>
  <c r="CZ348" i="8"/>
  <c r="CY348" i="8"/>
  <c r="CX348" i="8"/>
  <c r="DE347" i="8"/>
  <c r="DD347" i="8"/>
  <c r="DC347" i="8"/>
  <c r="DB347" i="8"/>
  <c r="DA347" i="8"/>
  <c r="CZ347" i="8"/>
  <c r="CY347" i="8"/>
  <c r="CX347" i="8"/>
  <c r="DE346" i="8"/>
  <c r="DD346" i="8"/>
  <c r="DC346" i="8"/>
  <c r="DB346" i="8"/>
  <c r="DA346" i="8"/>
  <c r="CZ346" i="8"/>
  <c r="CY346" i="8"/>
  <c r="CX346" i="8"/>
  <c r="DE345" i="8"/>
  <c r="DD345" i="8"/>
  <c r="DC345" i="8"/>
  <c r="DB345" i="8"/>
  <c r="DA345" i="8"/>
  <c r="CZ345" i="8"/>
  <c r="CY345" i="8"/>
  <c r="CX345" i="8"/>
  <c r="DE344" i="8"/>
  <c r="DD344" i="8"/>
  <c r="DC344" i="8"/>
  <c r="DB344" i="8"/>
  <c r="DA344" i="8"/>
  <c r="CZ344" i="8"/>
  <c r="CY344" i="8"/>
  <c r="CX344" i="8"/>
  <c r="DE343" i="8"/>
  <c r="DD343" i="8"/>
  <c r="DC343" i="8"/>
  <c r="DB343" i="8"/>
  <c r="DA343" i="8"/>
  <c r="CZ343" i="8"/>
  <c r="CY343" i="8"/>
  <c r="CX343" i="8"/>
  <c r="DE342" i="8"/>
  <c r="DD342" i="8"/>
  <c r="DC342" i="8"/>
  <c r="DB342" i="8"/>
  <c r="DA342" i="8"/>
  <c r="CZ342" i="8"/>
  <c r="CY342" i="8"/>
  <c r="CX342" i="8"/>
  <c r="DE341" i="8"/>
  <c r="DD341" i="8"/>
  <c r="DC341" i="8"/>
  <c r="DB341" i="8"/>
  <c r="DA341" i="8"/>
  <c r="CZ341" i="8"/>
  <c r="CY341" i="8"/>
  <c r="CX341" i="8"/>
  <c r="DE340" i="8"/>
  <c r="DD340" i="8"/>
  <c r="DC340" i="8"/>
  <c r="DB340" i="8"/>
  <c r="DA340" i="8"/>
  <c r="CZ340" i="8"/>
  <c r="CY340" i="8"/>
  <c r="CX340" i="8"/>
  <c r="DE339" i="8"/>
  <c r="DD339" i="8"/>
  <c r="DC339" i="8"/>
  <c r="DB339" i="8"/>
  <c r="DA339" i="8"/>
  <c r="CZ339" i="8"/>
  <c r="CY339" i="8"/>
  <c r="CX339" i="8"/>
  <c r="DE338" i="8"/>
  <c r="DD338" i="8"/>
  <c r="DC338" i="8"/>
  <c r="DB338" i="8"/>
  <c r="DA338" i="8"/>
  <c r="CZ338" i="8"/>
  <c r="CY338" i="8"/>
  <c r="CX338" i="8"/>
  <c r="DE337" i="8"/>
  <c r="DD337" i="8"/>
  <c r="DC337" i="8"/>
  <c r="DB337" i="8"/>
  <c r="DA337" i="8"/>
  <c r="CZ337" i="8"/>
  <c r="CY337" i="8"/>
  <c r="CX337" i="8"/>
  <c r="DE336" i="8"/>
  <c r="DD336" i="8"/>
  <c r="DC336" i="8"/>
  <c r="DB336" i="8"/>
  <c r="DA336" i="8"/>
  <c r="CZ336" i="8"/>
  <c r="CY336" i="8"/>
  <c r="CX336" i="8"/>
  <c r="DE335" i="8"/>
  <c r="DD335" i="8"/>
  <c r="DC335" i="8"/>
  <c r="DB335" i="8"/>
  <c r="DA335" i="8"/>
  <c r="CZ335" i="8"/>
  <c r="CY335" i="8"/>
  <c r="CX335" i="8"/>
  <c r="DE334" i="8"/>
  <c r="DD334" i="8"/>
  <c r="DC334" i="8"/>
  <c r="DB334" i="8"/>
  <c r="DA334" i="8"/>
  <c r="CZ334" i="8"/>
  <c r="CY334" i="8"/>
  <c r="CX334" i="8"/>
  <c r="DE333" i="8"/>
  <c r="DD333" i="8"/>
  <c r="DC333" i="8"/>
  <c r="DB333" i="8"/>
  <c r="DA333" i="8"/>
  <c r="CZ333" i="8"/>
  <c r="CY333" i="8"/>
  <c r="CX333" i="8"/>
  <c r="DE332" i="8"/>
  <c r="DD332" i="8"/>
  <c r="DC332" i="8"/>
  <c r="DB332" i="8"/>
  <c r="DA332" i="8"/>
  <c r="CZ332" i="8"/>
  <c r="CY332" i="8"/>
  <c r="CX332" i="8"/>
  <c r="DE331" i="8"/>
  <c r="DD331" i="8"/>
  <c r="DC331" i="8"/>
  <c r="DB331" i="8"/>
  <c r="DA331" i="8"/>
  <c r="CZ331" i="8"/>
  <c r="CY331" i="8"/>
  <c r="CX331" i="8"/>
  <c r="DE330" i="8"/>
  <c r="DD330" i="8"/>
  <c r="DC330" i="8"/>
  <c r="DB330" i="8"/>
  <c r="DA330" i="8"/>
  <c r="CZ330" i="8"/>
  <c r="CY330" i="8"/>
  <c r="CX330" i="8"/>
  <c r="DE329" i="8"/>
  <c r="DD329" i="8"/>
  <c r="DC329" i="8"/>
  <c r="DB329" i="8"/>
  <c r="DA329" i="8"/>
  <c r="CZ329" i="8"/>
  <c r="CY329" i="8"/>
  <c r="CX329" i="8"/>
  <c r="DE328" i="8"/>
  <c r="DD328" i="8"/>
  <c r="DC328" i="8"/>
  <c r="DB328" i="8"/>
  <c r="DA328" i="8"/>
  <c r="CZ328" i="8"/>
  <c r="CY328" i="8"/>
  <c r="CX328" i="8"/>
  <c r="DE327" i="8"/>
  <c r="DD327" i="8"/>
  <c r="DC327" i="8"/>
  <c r="DB327" i="8"/>
  <c r="DA327" i="8"/>
  <c r="CZ327" i="8"/>
  <c r="CY327" i="8"/>
  <c r="CX327" i="8"/>
  <c r="DE326" i="8"/>
  <c r="DD326" i="8"/>
  <c r="DC326" i="8"/>
  <c r="DB326" i="8"/>
  <c r="DA326" i="8"/>
  <c r="CZ326" i="8"/>
  <c r="CY326" i="8"/>
  <c r="CX326" i="8"/>
  <c r="DE325" i="8"/>
  <c r="DD325" i="8"/>
  <c r="DC325" i="8"/>
  <c r="DB325" i="8"/>
  <c r="DA325" i="8"/>
  <c r="CZ325" i="8"/>
  <c r="CY325" i="8"/>
  <c r="CX325" i="8"/>
  <c r="DE324" i="8"/>
  <c r="DD324" i="8"/>
  <c r="DC324" i="8"/>
  <c r="DB324" i="8"/>
  <c r="DA324" i="8"/>
  <c r="CZ324" i="8"/>
  <c r="CY324" i="8"/>
  <c r="CX324" i="8"/>
  <c r="DE323" i="8"/>
  <c r="DD323" i="8"/>
  <c r="DC323" i="8"/>
  <c r="DB323" i="8"/>
  <c r="DA323" i="8"/>
  <c r="CZ323" i="8"/>
  <c r="CY323" i="8"/>
  <c r="CX323" i="8"/>
  <c r="DE322" i="8"/>
  <c r="DD322" i="8"/>
  <c r="DC322" i="8"/>
  <c r="DB322" i="8"/>
  <c r="DA322" i="8"/>
  <c r="CZ322" i="8"/>
  <c r="CY322" i="8"/>
  <c r="CX322" i="8"/>
  <c r="DE321" i="8"/>
  <c r="DD321" i="8"/>
  <c r="DC321" i="8"/>
  <c r="DB321" i="8"/>
  <c r="DA321" i="8"/>
  <c r="CZ321" i="8"/>
  <c r="CY321" i="8"/>
  <c r="CX321" i="8"/>
  <c r="DE320" i="8"/>
  <c r="DD320" i="8"/>
  <c r="DC320" i="8"/>
  <c r="DB320" i="8"/>
  <c r="DA320" i="8"/>
  <c r="CZ320" i="8"/>
  <c r="CY320" i="8"/>
  <c r="CX320" i="8"/>
  <c r="DE319" i="8"/>
  <c r="DD319" i="8"/>
  <c r="DC319" i="8"/>
  <c r="DB319" i="8"/>
  <c r="DA319" i="8"/>
  <c r="CZ319" i="8"/>
  <c r="CY319" i="8"/>
  <c r="CX319" i="8"/>
  <c r="DE318" i="8"/>
  <c r="DD318" i="8"/>
  <c r="DC318" i="8"/>
  <c r="DB318" i="8"/>
  <c r="DA318" i="8"/>
  <c r="CZ318" i="8"/>
  <c r="CY318" i="8"/>
  <c r="CX318" i="8"/>
  <c r="DE317" i="8"/>
  <c r="DD317" i="8"/>
  <c r="DC317" i="8"/>
  <c r="DB317" i="8"/>
  <c r="DA317" i="8"/>
  <c r="CZ317" i="8"/>
  <c r="CY317" i="8"/>
  <c r="CX317" i="8"/>
  <c r="DE316" i="8"/>
  <c r="DD316" i="8"/>
  <c r="DC316" i="8"/>
  <c r="DB316" i="8"/>
  <c r="DA316" i="8"/>
  <c r="CZ316" i="8"/>
  <c r="CY316" i="8"/>
  <c r="CX316" i="8"/>
  <c r="DE315" i="8"/>
  <c r="DD315" i="8"/>
  <c r="DC315" i="8"/>
  <c r="DB315" i="8"/>
  <c r="DA315" i="8"/>
  <c r="CZ315" i="8"/>
  <c r="CY315" i="8"/>
  <c r="CX315" i="8"/>
  <c r="DE314" i="8"/>
  <c r="DD314" i="8"/>
  <c r="DC314" i="8"/>
  <c r="DB314" i="8"/>
  <c r="DA314" i="8"/>
  <c r="CZ314" i="8"/>
  <c r="CY314" i="8"/>
  <c r="CX314" i="8"/>
  <c r="DE313" i="8"/>
  <c r="DD313" i="8"/>
  <c r="DC313" i="8"/>
  <c r="DB313" i="8"/>
  <c r="DA313" i="8"/>
  <c r="CZ313" i="8"/>
  <c r="CY313" i="8"/>
  <c r="CX313" i="8"/>
  <c r="DE312" i="8"/>
  <c r="DD312" i="8"/>
  <c r="DC312" i="8"/>
  <c r="DB312" i="8"/>
  <c r="DA312" i="8"/>
  <c r="CZ312" i="8"/>
  <c r="CY312" i="8"/>
  <c r="CX312" i="8"/>
  <c r="DE311" i="8"/>
  <c r="DD311" i="8"/>
  <c r="DC311" i="8"/>
  <c r="DB311" i="8"/>
  <c r="DA311" i="8"/>
  <c r="CZ311" i="8"/>
  <c r="CY311" i="8"/>
  <c r="CX311" i="8"/>
  <c r="DE310" i="8"/>
  <c r="DD310" i="8"/>
  <c r="DC310" i="8"/>
  <c r="DB310" i="8"/>
  <c r="DA310" i="8"/>
  <c r="CZ310" i="8"/>
  <c r="CY310" i="8"/>
  <c r="CX310" i="8"/>
  <c r="DE309" i="8"/>
  <c r="DD309" i="8"/>
  <c r="DC309" i="8"/>
  <c r="DB309" i="8"/>
  <c r="DA309" i="8"/>
  <c r="CZ309" i="8"/>
  <c r="CY309" i="8"/>
  <c r="CX309" i="8"/>
  <c r="DE308" i="8"/>
  <c r="DD308" i="8"/>
  <c r="DC308" i="8"/>
  <c r="DB308" i="8"/>
  <c r="DA308" i="8"/>
  <c r="CZ308" i="8"/>
  <c r="CY308" i="8"/>
  <c r="CX308" i="8"/>
  <c r="DE307" i="8"/>
  <c r="DD307" i="8"/>
  <c r="DC307" i="8"/>
  <c r="DB307" i="8"/>
  <c r="DA307" i="8"/>
  <c r="CZ307" i="8"/>
  <c r="CY307" i="8"/>
  <c r="CX307" i="8"/>
  <c r="DE306" i="8"/>
  <c r="DD306" i="8"/>
  <c r="DC306" i="8"/>
  <c r="DB306" i="8"/>
  <c r="DA306" i="8"/>
  <c r="CZ306" i="8"/>
  <c r="CY306" i="8"/>
  <c r="CX306" i="8"/>
  <c r="DE305" i="8"/>
  <c r="DD305" i="8"/>
  <c r="DC305" i="8"/>
  <c r="DB305" i="8"/>
  <c r="DA305" i="8"/>
  <c r="CZ305" i="8"/>
  <c r="CY305" i="8"/>
  <c r="CX305" i="8"/>
  <c r="DE304" i="8"/>
  <c r="DD304" i="8"/>
  <c r="DC304" i="8"/>
  <c r="DB304" i="8"/>
  <c r="DA304" i="8"/>
  <c r="CZ304" i="8"/>
  <c r="CY304" i="8"/>
  <c r="CX304" i="8"/>
  <c r="DE303" i="8"/>
  <c r="DD303" i="8"/>
  <c r="DC303" i="8"/>
  <c r="DB303" i="8"/>
  <c r="DA303" i="8"/>
  <c r="CZ303" i="8"/>
  <c r="CY303" i="8"/>
  <c r="CX303" i="8"/>
  <c r="DE302" i="8"/>
  <c r="DD302" i="8"/>
  <c r="DC302" i="8"/>
  <c r="DB302" i="8"/>
  <c r="DA302" i="8"/>
  <c r="CZ302" i="8"/>
  <c r="CY302" i="8"/>
  <c r="CX302" i="8"/>
  <c r="DE301" i="8"/>
  <c r="DD301" i="8"/>
  <c r="DC301" i="8"/>
  <c r="DB301" i="8"/>
  <c r="DA301" i="8"/>
  <c r="CZ301" i="8"/>
  <c r="CY301" i="8"/>
  <c r="CX301" i="8"/>
  <c r="DE300" i="8"/>
  <c r="DD300" i="8"/>
  <c r="DC300" i="8"/>
  <c r="DB300" i="8"/>
  <c r="DA300" i="8"/>
  <c r="CZ300" i="8"/>
  <c r="CY300" i="8"/>
  <c r="CX300" i="8"/>
  <c r="DE299" i="8"/>
  <c r="DD299" i="8"/>
  <c r="DC299" i="8"/>
  <c r="DB299" i="8"/>
  <c r="DA299" i="8"/>
  <c r="CZ299" i="8"/>
  <c r="CY299" i="8"/>
  <c r="CX299" i="8"/>
  <c r="DE298" i="8"/>
  <c r="DD298" i="8"/>
  <c r="DC298" i="8"/>
  <c r="DB298" i="8"/>
  <c r="DA298" i="8"/>
  <c r="CZ298" i="8"/>
  <c r="CY298" i="8"/>
  <c r="CX298" i="8"/>
  <c r="DE297" i="8"/>
  <c r="DD297" i="8"/>
  <c r="DC297" i="8"/>
  <c r="DB297" i="8"/>
  <c r="DA297" i="8"/>
  <c r="CZ297" i="8"/>
  <c r="CY297" i="8"/>
  <c r="CX297" i="8"/>
  <c r="DE296" i="8"/>
  <c r="DD296" i="8"/>
  <c r="DC296" i="8"/>
  <c r="DB296" i="8"/>
  <c r="DA296" i="8"/>
  <c r="CZ296" i="8"/>
  <c r="CY296" i="8"/>
  <c r="CX296" i="8"/>
  <c r="DE295" i="8"/>
  <c r="DD295" i="8"/>
  <c r="DC295" i="8"/>
  <c r="DB295" i="8"/>
  <c r="DA295" i="8"/>
  <c r="CZ295" i="8"/>
  <c r="CY295" i="8"/>
  <c r="CX295" i="8"/>
  <c r="DE294" i="8"/>
  <c r="DD294" i="8"/>
  <c r="DC294" i="8"/>
  <c r="DB294" i="8"/>
  <c r="DA294" i="8"/>
  <c r="CZ294" i="8"/>
  <c r="CY294" i="8"/>
  <c r="CX294" i="8"/>
  <c r="DE293" i="8"/>
  <c r="DD293" i="8"/>
  <c r="DC293" i="8"/>
  <c r="DB293" i="8"/>
  <c r="DA293" i="8"/>
  <c r="CZ293" i="8"/>
  <c r="CY293" i="8"/>
  <c r="CX293" i="8"/>
  <c r="DE292" i="8"/>
  <c r="DD292" i="8"/>
  <c r="DC292" i="8"/>
  <c r="DB292" i="8"/>
  <c r="DA292" i="8"/>
  <c r="CZ292" i="8"/>
  <c r="CY292" i="8"/>
  <c r="CX292" i="8"/>
  <c r="DE291" i="8"/>
  <c r="DD291" i="8"/>
  <c r="DC291" i="8"/>
  <c r="DB291" i="8"/>
  <c r="DA291" i="8"/>
  <c r="CZ291" i="8"/>
  <c r="CY291" i="8"/>
  <c r="CX291" i="8"/>
  <c r="DE290" i="8"/>
  <c r="DD290" i="8"/>
  <c r="DC290" i="8"/>
  <c r="DB290" i="8"/>
  <c r="DA290" i="8"/>
  <c r="CZ290" i="8"/>
  <c r="CY290" i="8"/>
  <c r="CX290" i="8"/>
  <c r="DE289" i="8"/>
  <c r="DD289" i="8"/>
  <c r="DC289" i="8"/>
  <c r="DB289" i="8"/>
  <c r="DA289" i="8"/>
  <c r="CZ289" i="8"/>
  <c r="CY289" i="8"/>
  <c r="CX289" i="8"/>
  <c r="DE288" i="8"/>
  <c r="DD288" i="8"/>
  <c r="DC288" i="8"/>
  <c r="DB288" i="8"/>
  <c r="DA288" i="8"/>
  <c r="CZ288" i="8"/>
  <c r="CY288" i="8"/>
  <c r="CX288" i="8"/>
  <c r="DE287" i="8"/>
  <c r="DD287" i="8"/>
  <c r="DC287" i="8"/>
  <c r="DB287" i="8"/>
  <c r="DA287" i="8"/>
  <c r="CZ287" i="8"/>
  <c r="CY287" i="8"/>
  <c r="CX287" i="8"/>
  <c r="DE286" i="8"/>
  <c r="DD286" i="8"/>
  <c r="DC286" i="8"/>
  <c r="DB286" i="8"/>
  <c r="DA286" i="8"/>
  <c r="CZ286" i="8"/>
  <c r="CY286" i="8"/>
  <c r="CX286" i="8"/>
  <c r="DE285" i="8"/>
  <c r="DD285" i="8"/>
  <c r="DC285" i="8"/>
  <c r="DB285" i="8"/>
  <c r="DA285" i="8"/>
  <c r="CZ285" i="8"/>
  <c r="CY285" i="8"/>
  <c r="CX285" i="8"/>
  <c r="DE284" i="8"/>
  <c r="DD284" i="8"/>
  <c r="DC284" i="8"/>
  <c r="DB284" i="8"/>
  <c r="DA284" i="8"/>
  <c r="CZ284" i="8"/>
  <c r="CY284" i="8"/>
  <c r="CX284" i="8"/>
  <c r="DE283" i="8"/>
  <c r="DD283" i="8"/>
  <c r="DC283" i="8"/>
  <c r="DB283" i="8"/>
  <c r="DA283" i="8"/>
  <c r="CZ283" i="8"/>
  <c r="CY283" i="8"/>
  <c r="CX283" i="8"/>
  <c r="DE282" i="8"/>
  <c r="DD282" i="8"/>
  <c r="DC282" i="8"/>
  <c r="DB282" i="8"/>
  <c r="DA282" i="8"/>
  <c r="CZ282" i="8"/>
  <c r="CY282" i="8"/>
  <c r="CX282" i="8"/>
  <c r="DE281" i="8"/>
  <c r="DD281" i="8"/>
  <c r="DC281" i="8"/>
  <c r="DB281" i="8"/>
  <c r="DA281" i="8"/>
  <c r="CZ281" i="8"/>
  <c r="CY281" i="8"/>
  <c r="CX281" i="8"/>
  <c r="DE280" i="8"/>
  <c r="DD280" i="8"/>
  <c r="DC280" i="8"/>
  <c r="DB280" i="8"/>
  <c r="DA280" i="8"/>
  <c r="CZ280" i="8"/>
  <c r="CY280" i="8"/>
  <c r="CX280" i="8"/>
  <c r="DE279" i="8"/>
  <c r="DD279" i="8"/>
  <c r="DC279" i="8"/>
  <c r="DB279" i="8"/>
  <c r="DA279" i="8"/>
  <c r="CZ279" i="8"/>
  <c r="CY279" i="8"/>
  <c r="CX279" i="8"/>
  <c r="DE278" i="8"/>
  <c r="DD278" i="8"/>
  <c r="DC278" i="8"/>
  <c r="DB278" i="8"/>
  <c r="DA278" i="8"/>
  <c r="CZ278" i="8"/>
  <c r="CY278" i="8"/>
  <c r="CX278" i="8"/>
  <c r="DE277" i="8"/>
  <c r="DD277" i="8"/>
  <c r="DC277" i="8"/>
  <c r="DB277" i="8"/>
  <c r="DA277" i="8"/>
  <c r="CZ277" i="8"/>
  <c r="CY277" i="8"/>
  <c r="CX277" i="8"/>
  <c r="DE276" i="8"/>
  <c r="DD276" i="8"/>
  <c r="DC276" i="8"/>
  <c r="DB276" i="8"/>
  <c r="DA276" i="8"/>
  <c r="CZ276" i="8"/>
  <c r="CY276" i="8"/>
  <c r="CX276" i="8"/>
  <c r="DE275" i="8"/>
  <c r="DD275" i="8"/>
  <c r="DC275" i="8"/>
  <c r="DB275" i="8"/>
  <c r="DA275" i="8"/>
  <c r="CZ275" i="8"/>
  <c r="CY275" i="8"/>
  <c r="CX275" i="8"/>
  <c r="DE274" i="8"/>
  <c r="DD274" i="8"/>
  <c r="DC274" i="8"/>
  <c r="DB274" i="8"/>
  <c r="DA274" i="8"/>
  <c r="CZ274" i="8"/>
  <c r="CY274" i="8"/>
  <c r="CX274" i="8"/>
  <c r="DE273" i="8"/>
  <c r="DD273" i="8"/>
  <c r="DC273" i="8"/>
  <c r="DB273" i="8"/>
  <c r="DA273" i="8"/>
  <c r="CZ273" i="8"/>
  <c r="CY273" i="8"/>
  <c r="CX273" i="8"/>
  <c r="DE272" i="8"/>
  <c r="DD272" i="8"/>
  <c r="DC272" i="8"/>
  <c r="DB272" i="8"/>
  <c r="DA272" i="8"/>
  <c r="CZ272" i="8"/>
  <c r="CY272" i="8"/>
  <c r="CX272" i="8"/>
  <c r="DE271" i="8"/>
  <c r="DD271" i="8"/>
  <c r="DC271" i="8"/>
  <c r="DB271" i="8"/>
  <c r="DA271" i="8"/>
  <c r="CZ271" i="8"/>
  <c r="CY271" i="8"/>
  <c r="CX271" i="8"/>
  <c r="DE270" i="8"/>
  <c r="DD270" i="8"/>
  <c r="DC270" i="8"/>
  <c r="DB270" i="8"/>
  <c r="DA270" i="8"/>
  <c r="CZ270" i="8"/>
  <c r="CY270" i="8"/>
  <c r="CX270" i="8"/>
  <c r="DE269" i="8"/>
  <c r="DD269" i="8"/>
  <c r="DC269" i="8"/>
  <c r="DB269" i="8"/>
  <c r="DA269" i="8"/>
  <c r="CZ269" i="8"/>
  <c r="CY269" i="8"/>
  <c r="CX269" i="8"/>
  <c r="DE268" i="8"/>
  <c r="DD268" i="8"/>
  <c r="DC268" i="8"/>
  <c r="DB268" i="8"/>
  <c r="DA268" i="8"/>
  <c r="CZ268" i="8"/>
  <c r="CY268" i="8"/>
  <c r="CX268" i="8"/>
  <c r="DE267" i="8"/>
  <c r="DD267" i="8"/>
  <c r="DC267" i="8"/>
  <c r="DB267" i="8"/>
  <c r="DA267" i="8"/>
  <c r="CZ267" i="8"/>
  <c r="CY267" i="8"/>
  <c r="CX267" i="8"/>
  <c r="DE266" i="8"/>
  <c r="DD266" i="8"/>
  <c r="DC266" i="8"/>
  <c r="DB266" i="8"/>
  <c r="DA266" i="8"/>
  <c r="CZ266" i="8"/>
  <c r="CY266" i="8"/>
  <c r="CX266" i="8"/>
  <c r="DE265" i="8"/>
  <c r="DD265" i="8"/>
  <c r="DC265" i="8"/>
  <c r="DB265" i="8"/>
  <c r="DA265" i="8"/>
  <c r="CZ265" i="8"/>
  <c r="CY265" i="8"/>
  <c r="CX265" i="8"/>
  <c r="DE264" i="8"/>
  <c r="DD264" i="8"/>
  <c r="DC264" i="8"/>
  <c r="DB264" i="8"/>
  <c r="DA264" i="8"/>
  <c r="CZ264" i="8"/>
  <c r="CY264" i="8"/>
  <c r="CX264" i="8"/>
  <c r="DE263" i="8"/>
  <c r="DD263" i="8"/>
  <c r="DC263" i="8"/>
  <c r="DB263" i="8"/>
  <c r="DA263" i="8"/>
  <c r="CZ263" i="8"/>
  <c r="CY263" i="8"/>
  <c r="CX263" i="8"/>
  <c r="DE262" i="8"/>
  <c r="DD262" i="8"/>
  <c r="DC262" i="8"/>
  <c r="DB262" i="8"/>
  <c r="DA262" i="8"/>
  <c r="CZ262" i="8"/>
  <c r="CY262" i="8"/>
  <c r="CX262" i="8"/>
  <c r="DE261" i="8"/>
  <c r="DD261" i="8"/>
  <c r="DC261" i="8"/>
  <c r="DB261" i="8"/>
  <c r="DA261" i="8"/>
  <c r="CZ261" i="8"/>
  <c r="CY261" i="8"/>
  <c r="CX261" i="8"/>
  <c r="DE260" i="8"/>
  <c r="DD260" i="8"/>
  <c r="DC260" i="8"/>
  <c r="DB260" i="8"/>
  <c r="DA260" i="8"/>
  <c r="CZ260" i="8"/>
  <c r="CY260" i="8"/>
  <c r="CX260" i="8"/>
  <c r="DE259" i="8"/>
  <c r="DD259" i="8"/>
  <c r="DC259" i="8"/>
  <c r="DB259" i="8"/>
  <c r="DA259" i="8"/>
  <c r="CZ259" i="8"/>
  <c r="CY259" i="8"/>
  <c r="CX259" i="8"/>
  <c r="DE258" i="8"/>
  <c r="DD258" i="8"/>
  <c r="DC258" i="8"/>
  <c r="DB258" i="8"/>
  <c r="DA258" i="8"/>
  <c r="CZ258" i="8"/>
  <c r="CY258" i="8"/>
  <c r="CX258" i="8"/>
  <c r="DE257" i="8"/>
  <c r="DD257" i="8"/>
  <c r="DC257" i="8"/>
  <c r="DB257" i="8"/>
  <c r="DA257" i="8"/>
  <c r="CZ257" i="8"/>
  <c r="CY257" i="8"/>
  <c r="CX257" i="8"/>
  <c r="DE256" i="8"/>
  <c r="DD256" i="8"/>
  <c r="DC256" i="8"/>
  <c r="DB256" i="8"/>
  <c r="DA256" i="8"/>
  <c r="CZ256" i="8"/>
  <c r="CY256" i="8"/>
  <c r="CX256" i="8"/>
  <c r="DE255" i="8"/>
  <c r="DD255" i="8"/>
  <c r="DC255" i="8"/>
  <c r="DB255" i="8"/>
  <c r="DA255" i="8"/>
  <c r="CZ255" i="8"/>
  <c r="CY255" i="8"/>
  <c r="CX255" i="8"/>
  <c r="DE254" i="8"/>
  <c r="DD254" i="8"/>
  <c r="DC254" i="8"/>
  <c r="DB254" i="8"/>
  <c r="DA254" i="8"/>
  <c r="CZ254" i="8"/>
  <c r="CY254" i="8"/>
  <c r="CX254" i="8"/>
  <c r="DE253" i="8"/>
  <c r="DD253" i="8"/>
  <c r="DC253" i="8"/>
  <c r="DB253" i="8"/>
  <c r="DA253" i="8"/>
  <c r="CZ253" i="8"/>
  <c r="CY253" i="8"/>
  <c r="CX253" i="8"/>
  <c r="DE252" i="8"/>
  <c r="DD252" i="8"/>
  <c r="DC252" i="8"/>
  <c r="DB252" i="8"/>
  <c r="DA252" i="8"/>
  <c r="CZ252" i="8"/>
  <c r="CY252" i="8"/>
  <c r="CX252" i="8"/>
  <c r="DE251" i="8"/>
  <c r="DD251" i="8"/>
  <c r="DC251" i="8"/>
  <c r="DB251" i="8"/>
  <c r="DA251" i="8"/>
  <c r="CZ251" i="8"/>
  <c r="CY251" i="8"/>
  <c r="CX251" i="8"/>
  <c r="DE250" i="8"/>
  <c r="DD250" i="8"/>
  <c r="DC250" i="8"/>
  <c r="DB250" i="8"/>
  <c r="DA250" i="8"/>
  <c r="CZ250" i="8"/>
  <c r="CY250" i="8"/>
  <c r="CX250" i="8"/>
  <c r="DE249" i="8"/>
  <c r="DD249" i="8"/>
  <c r="DC249" i="8"/>
  <c r="DB249" i="8"/>
  <c r="DA249" i="8"/>
  <c r="CZ249" i="8"/>
  <c r="CY249" i="8"/>
  <c r="CX249" i="8"/>
  <c r="DE248" i="8"/>
  <c r="DD248" i="8"/>
  <c r="DC248" i="8"/>
  <c r="DB248" i="8"/>
  <c r="DA248" i="8"/>
  <c r="CZ248" i="8"/>
  <c r="CY248" i="8"/>
  <c r="CX248" i="8"/>
  <c r="DE247" i="8"/>
  <c r="DD247" i="8"/>
  <c r="DC247" i="8"/>
  <c r="DB247" i="8"/>
  <c r="DA247" i="8"/>
  <c r="CZ247" i="8"/>
  <c r="CY247" i="8"/>
  <c r="CX247" i="8"/>
  <c r="DE246" i="8"/>
  <c r="DD246" i="8"/>
  <c r="DC246" i="8"/>
  <c r="DB246" i="8"/>
  <c r="DA246" i="8"/>
  <c r="CZ246" i="8"/>
  <c r="CY246" i="8"/>
  <c r="CX246" i="8"/>
  <c r="DE245" i="8"/>
  <c r="DD245" i="8"/>
  <c r="DC245" i="8"/>
  <c r="DB245" i="8"/>
  <c r="DA245" i="8"/>
  <c r="CZ245" i="8"/>
  <c r="CY245" i="8"/>
  <c r="CX245" i="8"/>
  <c r="DE244" i="8"/>
  <c r="DD244" i="8"/>
  <c r="DC244" i="8"/>
  <c r="DB244" i="8"/>
  <c r="DA244" i="8"/>
  <c r="CZ244" i="8"/>
  <c r="CY244" i="8"/>
  <c r="CX244" i="8"/>
  <c r="DE243" i="8"/>
  <c r="DD243" i="8"/>
  <c r="DC243" i="8"/>
  <c r="DB243" i="8"/>
  <c r="DA243" i="8"/>
  <c r="CZ243" i="8"/>
  <c r="CY243" i="8"/>
  <c r="CX243" i="8"/>
  <c r="DE242" i="8"/>
  <c r="DD242" i="8"/>
  <c r="DC242" i="8"/>
  <c r="DB242" i="8"/>
  <c r="DA242" i="8"/>
  <c r="CZ242" i="8"/>
  <c r="CY242" i="8"/>
  <c r="CX242" i="8"/>
  <c r="DE241" i="8"/>
  <c r="DD241" i="8"/>
  <c r="DC241" i="8"/>
  <c r="DB241" i="8"/>
  <c r="DA241" i="8"/>
  <c r="CZ241" i="8"/>
  <c r="CY241" i="8"/>
  <c r="CX241" i="8"/>
  <c r="DE240" i="8"/>
  <c r="DD240" i="8"/>
  <c r="DC240" i="8"/>
  <c r="DB240" i="8"/>
  <c r="DA240" i="8"/>
  <c r="CZ240" i="8"/>
  <c r="CY240" i="8"/>
  <c r="CX240" i="8"/>
  <c r="DE239" i="8"/>
  <c r="DD239" i="8"/>
  <c r="DC239" i="8"/>
  <c r="DB239" i="8"/>
  <c r="DA239" i="8"/>
  <c r="CZ239" i="8"/>
  <c r="CY239" i="8"/>
  <c r="CX239" i="8"/>
  <c r="DE238" i="8"/>
  <c r="DD238" i="8"/>
  <c r="DC238" i="8"/>
  <c r="DB238" i="8"/>
  <c r="DA238" i="8"/>
  <c r="CZ238" i="8"/>
  <c r="CY238" i="8"/>
  <c r="CX238" i="8"/>
  <c r="DE237" i="8"/>
  <c r="DD237" i="8"/>
  <c r="DC237" i="8"/>
  <c r="DB237" i="8"/>
  <c r="DA237" i="8"/>
  <c r="CZ237" i="8"/>
  <c r="CY237" i="8"/>
  <c r="CX237" i="8"/>
  <c r="DE236" i="8"/>
  <c r="DD236" i="8"/>
  <c r="DC236" i="8"/>
  <c r="DB236" i="8"/>
  <c r="DA236" i="8"/>
  <c r="CZ236" i="8"/>
  <c r="CY236" i="8"/>
  <c r="CX236" i="8"/>
  <c r="DE235" i="8"/>
  <c r="DD235" i="8"/>
  <c r="DC235" i="8"/>
  <c r="DB235" i="8"/>
  <c r="DA235" i="8"/>
  <c r="CZ235" i="8"/>
  <c r="CY235" i="8"/>
  <c r="CX235" i="8"/>
  <c r="DE234" i="8"/>
  <c r="DD234" i="8"/>
  <c r="DC234" i="8"/>
  <c r="DB234" i="8"/>
  <c r="DA234" i="8"/>
  <c r="CZ234" i="8"/>
  <c r="CY234" i="8"/>
  <c r="CX234" i="8"/>
  <c r="DE233" i="8"/>
  <c r="DD233" i="8"/>
  <c r="DC233" i="8"/>
  <c r="DB233" i="8"/>
  <c r="DA233" i="8"/>
  <c r="CZ233" i="8"/>
  <c r="CY233" i="8"/>
  <c r="CX233" i="8"/>
  <c r="DE232" i="8"/>
  <c r="DD232" i="8"/>
  <c r="DC232" i="8"/>
  <c r="DB232" i="8"/>
  <c r="DA232" i="8"/>
  <c r="CZ232" i="8"/>
  <c r="CY232" i="8"/>
  <c r="CX232" i="8"/>
  <c r="DE231" i="8"/>
  <c r="DD231" i="8"/>
  <c r="DC231" i="8"/>
  <c r="DB231" i="8"/>
  <c r="DA231" i="8"/>
  <c r="CZ231" i="8"/>
  <c r="CY231" i="8"/>
  <c r="CX231" i="8"/>
  <c r="DE230" i="8"/>
  <c r="DD230" i="8"/>
  <c r="DC230" i="8"/>
  <c r="DB230" i="8"/>
  <c r="DA230" i="8"/>
  <c r="CZ230" i="8"/>
  <c r="CY230" i="8"/>
  <c r="CX230" i="8"/>
  <c r="DE229" i="8"/>
  <c r="DD229" i="8"/>
  <c r="DC229" i="8"/>
  <c r="DB229" i="8"/>
  <c r="DA229" i="8"/>
  <c r="CZ229" i="8"/>
  <c r="CY229" i="8"/>
  <c r="CX229" i="8"/>
  <c r="DE228" i="8"/>
  <c r="DD228" i="8"/>
  <c r="DC228" i="8"/>
  <c r="DB228" i="8"/>
  <c r="DA228" i="8"/>
  <c r="CZ228" i="8"/>
  <c r="CY228" i="8"/>
  <c r="CX228" i="8"/>
  <c r="DE227" i="8"/>
  <c r="DD227" i="8"/>
  <c r="DC227" i="8"/>
  <c r="DB227" i="8"/>
  <c r="DA227" i="8"/>
  <c r="CZ227" i="8"/>
  <c r="CY227" i="8"/>
  <c r="CX227" i="8"/>
  <c r="DE226" i="8"/>
  <c r="DD226" i="8"/>
  <c r="DC226" i="8"/>
  <c r="DB226" i="8"/>
  <c r="DA226" i="8"/>
  <c r="CZ226" i="8"/>
  <c r="CY226" i="8"/>
  <c r="CX226" i="8"/>
  <c r="DE225" i="8"/>
  <c r="DD225" i="8"/>
  <c r="DC225" i="8"/>
  <c r="DB225" i="8"/>
  <c r="DA225" i="8"/>
  <c r="CZ225" i="8"/>
  <c r="CY225" i="8"/>
  <c r="CX225" i="8"/>
  <c r="DE224" i="8"/>
  <c r="DD224" i="8"/>
  <c r="DC224" i="8"/>
  <c r="DB224" i="8"/>
  <c r="DA224" i="8"/>
  <c r="CZ224" i="8"/>
  <c r="CY224" i="8"/>
  <c r="CX224" i="8"/>
  <c r="DE223" i="8"/>
  <c r="DD223" i="8"/>
  <c r="DC223" i="8"/>
  <c r="DB223" i="8"/>
  <c r="DA223" i="8"/>
  <c r="CZ223" i="8"/>
  <c r="CY223" i="8"/>
  <c r="CX223" i="8"/>
  <c r="DE222" i="8"/>
  <c r="DD222" i="8"/>
  <c r="DC222" i="8"/>
  <c r="DB222" i="8"/>
  <c r="DA222" i="8"/>
  <c r="CZ222" i="8"/>
  <c r="CY222" i="8"/>
  <c r="CX222" i="8"/>
  <c r="DE221" i="8"/>
  <c r="DD221" i="8"/>
  <c r="DC221" i="8"/>
  <c r="DB221" i="8"/>
  <c r="DA221" i="8"/>
  <c r="CZ221" i="8"/>
  <c r="CY221" i="8"/>
  <c r="CX221" i="8"/>
  <c r="DE220" i="8"/>
  <c r="DD220" i="8"/>
  <c r="DC220" i="8"/>
  <c r="DB220" i="8"/>
  <c r="DA220" i="8"/>
  <c r="CZ220" i="8"/>
  <c r="CY220" i="8"/>
  <c r="CX220" i="8"/>
  <c r="DE219" i="8"/>
  <c r="DD219" i="8"/>
  <c r="DC219" i="8"/>
  <c r="DB219" i="8"/>
  <c r="DA219" i="8"/>
  <c r="CZ219" i="8"/>
  <c r="CY219" i="8"/>
  <c r="CX219" i="8"/>
  <c r="DE218" i="8"/>
  <c r="DD218" i="8"/>
  <c r="DC218" i="8"/>
  <c r="DB218" i="8"/>
  <c r="DA218" i="8"/>
  <c r="CZ218" i="8"/>
  <c r="CY218" i="8"/>
  <c r="CX218" i="8"/>
  <c r="DE217" i="8"/>
  <c r="DD217" i="8"/>
  <c r="DC217" i="8"/>
  <c r="DB217" i="8"/>
  <c r="DA217" i="8"/>
  <c r="CZ217" i="8"/>
  <c r="CY217" i="8"/>
  <c r="CX217" i="8"/>
  <c r="DE216" i="8"/>
  <c r="DD216" i="8"/>
  <c r="DC216" i="8"/>
  <c r="DB216" i="8"/>
  <c r="DA216" i="8"/>
  <c r="CZ216" i="8"/>
  <c r="CY216" i="8"/>
  <c r="CX216" i="8"/>
  <c r="DE215" i="8"/>
  <c r="DD215" i="8"/>
  <c r="DC215" i="8"/>
  <c r="DB215" i="8"/>
  <c r="DA215" i="8"/>
  <c r="CZ215" i="8"/>
  <c r="CY215" i="8"/>
  <c r="CX215" i="8"/>
  <c r="DE214" i="8"/>
  <c r="DD214" i="8"/>
  <c r="DC214" i="8"/>
  <c r="DB214" i="8"/>
  <c r="DA214" i="8"/>
  <c r="CZ214" i="8"/>
  <c r="CY214" i="8"/>
  <c r="CX214" i="8"/>
  <c r="DE213" i="8"/>
  <c r="DD213" i="8"/>
  <c r="DC213" i="8"/>
  <c r="DB213" i="8"/>
  <c r="DA213" i="8"/>
  <c r="CZ213" i="8"/>
  <c r="CY213" i="8"/>
  <c r="CX213" i="8"/>
  <c r="DE212" i="8"/>
  <c r="DD212" i="8"/>
  <c r="DC212" i="8"/>
  <c r="DB212" i="8"/>
  <c r="DA212" i="8"/>
  <c r="CZ212" i="8"/>
  <c r="CY212" i="8"/>
  <c r="CX212" i="8"/>
  <c r="DE211" i="8"/>
  <c r="DD211" i="8"/>
  <c r="DC211" i="8"/>
  <c r="DB211" i="8"/>
  <c r="DA211" i="8"/>
  <c r="CZ211" i="8"/>
  <c r="CY211" i="8"/>
  <c r="CX211" i="8"/>
  <c r="DE210" i="8"/>
  <c r="DD210" i="8"/>
  <c r="DC210" i="8"/>
  <c r="DB210" i="8"/>
  <c r="DA210" i="8"/>
  <c r="CZ210" i="8"/>
  <c r="CY210" i="8"/>
  <c r="CX210" i="8"/>
  <c r="DE209" i="8"/>
  <c r="DD209" i="8"/>
  <c r="DC209" i="8"/>
  <c r="DB209" i="8"/>
  <c r="DA209" i="8"/>
  <c r="CZ209" i="8"/>
  <c r="CY209" i="8"/>
  <c r="CX209" i="8"/>
  <c r="DE208" i="8"/>
  <c r="DD208" i="8"/>
  <c r="DC208" i="8"/>
  <c r="DB208" i="8"/>
  <c r="DA208" i="8"/>
  <c r="CZ208" i="8"/>
  <c r="CY208" i="8"/>
  <c r="CX208" i="8"/>
  <c r="DE207" i="8"/>
  <c r="DD207" i="8"/>
  <c r="DC207" i="8"/>
  <c r="DB207" i="8"/>
  <c r="DA207" i="8"/>
  <c r="CZ207" i="8"/>
  <c r="CY207" i="8"/>
  <c r="CX207" i="8"/>
  <c r="DE206" i="8"/>
  <c r="DD206" i="8"/>
  <c r="DC206" i="8"/>
  <c r="DB206" i="8"/>
  <c r="DA206" i="8"/>
  <c r="CZ206" i="8"/>
  <c r="CY206" i="8"/>
  <c r="CX206" i="8"/>
  <c r="DE205" i="8"/>
  <c r="DD205" i="8"/>
  <c r="DC205" i="8"/>
  <c r="DB205" i="8"/>
  <c r="DA205" i="8"/>
  <c r="CZ205" i="8"/>
  <c r="CY205" i="8"/>
  <c r="CX205" i="8"/>
  <c r="DE204" i="8"/>
  <c r="DD204" i="8"/>
  <c r="DC204" i="8"/>
  <c r="DB204" i="8"/>
  <c r="DA204" i="8"/>
  <c r="CZ204" i="8"/>
  <c r="CY204" i="8"/>
  <c r="CX204" i="8"/>
  <c r="DE203" i="8"/>
  <c r="DD203" i="8"/>
  <c r="DC203" i="8"/>
  <c r="DB203" i="8"/>
  <c r="DA203" i="8"/>
  <c r="CZ203" i="8"/>
  <c r="CY203" i="8"/>
  <c r="CX203" i="8"/>
  <c r="DE202" i="8"/>
  <c r="DD202" i="8"/>
  <c r="DC202" i="8"/>
  <c r="DB202" i="8"/>
  <c r="DA202" i="8"/>
  <c r="CZ202" i="8"/>
  <c r="CY202" i="8"/>
  <c r="CX202" i="8"/>
  <c r="DE201" i="8"/>
  <c r="DD201" i="8"/>
  <c r="DC201" i="8"/>
  <c r="DB201" i="8"/>
  <c r="DA201" i="8"/>
  <c r="CZ201" i="8"/>
  <c r="CY201" i="8"/>
  <c r="CX201" i="8"/>
  <c r="DE200" i="8"/>
  <c r="DD200" i="8"/>
  <c r="DC200" i="8"/>
  <c r="DB200" i="8"/>
  <c r="DA200" i="8"/>
  <c r="CZ200" i="8"/>
  <c r="CY200" i="8"/>
  <c r="CX200" i="8"/>
  <c r="DE199" i="8"/>
  <c r="DD199" i="8"/>
  <c r="DC199" i="8"/>
  <c r="DB199" i="8"/>
  <c r="DA199" i="8"/>
  <c r="CZ199" i="8"/>
  <c r="CY199" i="8"/>
  <c r="CX199" i="8"/>
  <c r="DE198" i="8"/>
  <c r="DD198" i="8"/>
  <c r="DC198" i="8"/>
  <c r="DB198" i="8"/>
  <c r="DA198" i="8"/>
  <c r="CZ198" i="8"/>
  <c r="CY198" i="8"/>
  <c r="CX198" i="8"/>
  <c r="DE197" i="8"/>
  <c r="DD197" i="8"/>
  <c r="DC197" i="8"/>
  <c r="DB197" i="8"/>
  <c r="DA197" i="8"/>
  <c r="CZ197" i="8"/>
  <c r="CY197" i="8"/>
  <c r="CX197" i="8"/>
  <c r="DE196" i="8"/>
  <c r="DD196" i="8"/>
  <c r="DC196" i="8"/>
  <c r="DB196" i="8"/>
  <c r="DA196" i="8"/>
  <c r="CZ196" i="8"/>
  <c r="CY196" i="8"/>
  <c r="CX196" i="8"/>
  <c r="DE195" i="8"/>
  <c r="DD195" i="8"/>
  <c r="DC195" i="8"/>
  <c r="DB195" i="8"/>
  <c r="DA195" i="8"/>
  <c r="CZ195" i="8"/>
  <c r="CY195" i="8"/>
  <c r="CX195" i="8"/>
  <c r="DE194" i="8"/>
  <c r="DD194" i="8"/>
  <c r="DC194" i="8"/>
  <c r="DB194" i="8"/>
  <c r="DA194" i="8"/>
  <c r="CZ194" i="8"/>
  <c r="CY194" i="8"/>
  <c r="CX194" i="8"/>
  <c r="DE193" i="8"/>
  <c r="DD193" i="8"/>
  <c r="DC193" i="8"/>
  <c r="DB193" i="8"/>
  <c r="DA193" i="8"/>
  <c r="CZ193" i="8"/>
  <c r="CY193" i="8"/>
  <c r="CX193" i="8"/>
  <c r="DE192" i="8"/>
  <c r="DD192" i="8"/>
  <c r="DC192" i="8"/>
  <c r="DB192" i="8"/>
  <c r="DA192" i="8"/>
  <c r="CZ192" i="8"/>
  <c r="CY192" i="8"/>
  <c r="CX192" i="8"/>
  <c r="DE191" i="8"/>
  <c r="DD191" i="8"/>
  <c r="DC191" i="8"/>
  <c r="DB191" i="8"/>
  <c r="DA191" i="8"/>
  <c r="CZ191" i="8"/>
  <c r="CY191" i="8"/>
  <c r="CX191" i="8"/>
  <c r="DE190" i="8"/>
  <c r="DD190" i="8"/>
  <c r="DC190" i="8"/>
  <c r="DB190" i="8"/>
  <c r="DA190" i="8"/>
  <c r="CZ190" i="8"/>
  <c r="CY190" i="8"/>
  <c r="CX190" i="8"/>
  <c r="DE189" i="8"/>
  <c r="DD189" i="8"/>
  <c r="DC189" i="8"/>
  <c r="DB189" i="8"/>
  <c r="DA189" i="8"/>
  <c r="CZ189" i="8"/>
  <c r="CY189" i="8"/>
  <c r="CX189" i="8"/>
  <c r="DE188" i="8"/>
  <c r="DD188" i="8"/>
  <c r="DC188" i="8"/>
  <c r="DB188" i="8"/>
  <c r="DA188" i="8"/>
  <c r="CZ188" i="8"/>
  <c r="CY188" i="8"/>
  <c r="CX188" i="8"/>
  <c r="DE187" i="8"/>
  <c r="DD187" i="8"/>
  <c r="DC187" i="8"/>
  <c r="DB187" i="8"/>
  <c r="DA187" i="8"/>
  <c r="CZ187" i="8"/>
  <c r="CY187" i="8"/>
  <c r="CX187" i="8"/>
  <c r="DE186" i="8"/>
  <c r="DD186" i="8"/>
  <c r="DC186" i="8"/>
  <c r="DB186" i="8"/>
  <c r="DA186" i="8"/>
  <c r="CZ186" i="8"/>
  <c r="CY186" i="8"/>
  <c r="CX186" i="8"/>
  <c r="DE185" i="8"/>
  <c r="DD185" i="8"/>
  <c r="DC185" i="8"/>
  <c r="DB185" i="8"/>
  <c r="DA185" i="8"/>
  <c r="CZ185" i="8"/>
  <c r="CY185" i="8"/>
  <c r="CX185" i="8"/>
  <c r="DE184" i="8"/>
  <c r="DD184" i="8"/>
  <c r="DC184" i="8"/>
  <c r="DB184" i="8"/>
  <c r="DA184" i="8"/>
  <c r="CZ184" i="8"/>
  <c r="CY184" i="8"/>
  <c r="CX184" i="8"/>
  <c r="DE183" i="8"/>
  <c r="DD183" i="8"/>
  <c r="DC183" i="8"/>
  <c r="DB183" i="8"/>
  <c r="DA183" i="8"/>
  <c r="CZ183" i="8"/>
  <c r="CY183" i="8"/>
  <c r="CX183" i="8"/>
  <c r="DE182" i="8"/>
  <c r="DD182" i="8"/>
  <c r="DC182" i="8"/>
  <c r="DB182" i="8"/>
  <c r="DA182" i="8"/>
  <c r="CZ182" i="8"/>
  <c r="CY182" i="8"/>
  <c r="CX182" i="8"/>
  <c r="DE181" i="8"/>
  <c r="DD181" i="8"/>
  <c r="DC181" i="8"/>
  <c r="DB181" i="8"/>
  <c r="DA181" i="8"/>
  <c r="CZ181" i="8"/>
  <c r="CY181" i="8"/>
  <c r="CX181" i="8"/>
  <c r="DE180" i="8"/>
  <c r="DD180" i="8"/>
  <c r="DC180" i="8"/>
  <c r="DB180" i="8"/>
  <c r="DA180" i="8"/>
  <c r="CZ180" i="8"/>
  <c r="CY180" i="8"/>
  <c r="CX180" i="8"/>
  <c r="DE179" i="8"/>
  <c r="DD179" i="8"/>
  <c r="DC179" i="8"/>
  <c r="DB179" i="8"/>
  <c r="DA179" i="8"/>
  <c r="CZ179" i="8"/>
  <c r="CY179" i="8"/>
  <c r="CX179" i="8"/>
  <c r="DE178" i="8"/>
  <c r="DD178" i="8"/>
  <c r="DC178" i="8"/>
  <c r="DB178" i="8"/>
  <c r="DA178" i="8"/>
  <c r="CZ178" i="8"/>
  <c r="CY178" i="8"/>
  <c r="CX178" i="8"/>
  <c r="DE177" i="8"/>
  <c r="DD177" i="8"/>
  <c r="DC177" i="8"/>
  <c r="DB177" i="8"/>
  <c r="DA177" i="8"/>
  <c r="CZ177" i="8"/>
  <c r="CY177" i="8"/>
  <c r="CX177" i="8"/>
  <c r="DE176" i="8"/>
  <c r="DD176" i="8"/>
  <c r="DC176" i="8"/>
  <c r="DB176" i="8"/>
  <c r="DA176" i="8"/>
  <c r="CZ176" i="8"/>
  <c r="CY176" i="8"/>
  <c r="CX176" i="8"/>
  <c r="DE175" i="8"/>
  <c r="DD175" i="8"/>
  <c r="DC175" i="8"/>
  <c r="DB175" i="8"/>
  <c r="DA175" i="8"/>
  <c r="CZ175" i="8"/>
  <c r="CY175" i="8"/>
  <c r="CX175" i="8"/>
  <c r="DE174" i="8"/>
  <c r="DD174" i="8"/>
  <c r="DC174" i="8"/>
  <c r="DB174" i="8"/>
  <c r="DA174" i="8"/>
  <c r="CZ174" i="8"/>
  <c r="CY174" i="8"/>
  <c r="CX174" i="8"/>
  <c r="DE173" i="8"/>
  <c r="DD173" i="8"/>
  <c r="DC173" i="8"/>
  <c r="DB173" i="8"/>
  <c r="DA173" i="8"/>
  <c r="CZ173" i="8"/>
  <c r="CY173" i="8"/>
  <c r="CX173" i="8"/>
  <c r="DE172" i="8"/>
  <c r="DD172" i="8"/>
  <c r="DC172" i="8"/>
  <c r="DB172" i="8"/>
  <c r="DA172" i="8"/>
  <c r="CZ172" i="8"/>
  <c r="CY172" i="8"/>
  <c r="CX172" i="8"/>
  <c r="DE171" i="8"/>
  <c r="DD171" i="8"/>
  <c r="DC171" i="8"/>
  <c r="DB171" i="8"/>
  <c r="DA171" i="8"/>
  <c r="CZ171" i="8"/>
  <c r="CY171" i="8"/>
  <c r="CX171" i="8"/>
  <c r="DE170" i="8"/>
  <c r="DD170" i="8"/>
  <c r="DC170" i="8"/>
  <c r="DB170" i="8"/>
  <c r="DA170" i="8"/>
  <c r="CZ170" i="8"/>
  <c r="CY170" i="8"/>
  <c r="CX170" i="8"/>
  <c r="DE169" i="8"/>
  <c r="DD169" i="8"/>
  <c r="DC169" i="8"/>
  <c r="DB169" i="8"/>
  <c r="DA169" i="8"/>
  <c r="CZ169" i="8"/>
  <c r="CY169" i="8"/>
  <c r="CX169" i="8"/>
  <c r="DE168" i="8"/>
  <c r="DD168" i="8"/>
  <c r="DC168" i="8"/>
  <c r="DB168" i="8"/>
  <c r="DA168" i="8"/>
  <c r="CZ168" i="8"/>
  <c r="CY168" i="8"/>
  <c r="CX168" i="8"/>
  <c r="DE167" i="8"/>
  <c r="DD167" i="8"/>
  <c r="DC167" i="8"/>
  <c r="DB167" i="8"/>
  <c r="DA167" i="8"/>
  <c r="CZ167" i="8"/>
  <c r="CY167" i="8"/>
  <c r="CX167" i="8"/>
  <c r="DE166" i="8"/>
  <c r="DD166" i="8"/>
  <c r="DC166" i="8"/>
  <c r="DB166" i="8"/>
  <c r="DA166" i="8"/>
  <c r="CZ166" i="8"/>
  <c r="CY166" i="8"/>
  <c r="CX166" i="8"/>
  <c r="DE165" i="8"/>
  <c r="DD165" i="8"/>
  <c r="DC165" i="8"/>
  <c r="DB165" i="8"/>
  <c r="DA165" i="8"/>
  <c r="CZ165" i="8"/>
  <c r="CY165" i="8"/>
  <c r="CX165" i="8"/>
  <c r="DE164" i="8"/>
  <c r="DD164" i="8"/>
  <c r="DC164" i="8"/>
  <c r="DB164" i="8"/>
  <c r="DA164" i="8"/>
  <c r="CZ164" i="8"/>
  <c r="CY164" i="8"/>
  <c r="CX164" i="8"/>
  <c r="DE163" i="8"/>
  <c r="DD163" i="8"/>
  <c r="DC163" i="8"/>
  <c r="DB163" i="8"/>
  <c r="DA163" i="8"/>
  <c r="CZ163" i="8"/>
  <c r="CY163" i="8"/>
  <c r="CX163" i="8"/>
  <c r="DE162" i="8"/>
  <c r="DD162" i="8"/>
  <c r="DC162" i="8"/>
  <c r="DB162" i="8"/>
  <c r="DA162" i="8"/>
  <c r="CZ162" i="8"/>
  <c r="CY162" i="8"/>
  <c r="CX162" i="8"/>
  <c r="DE161" i="8"/>
  <c r="DD161" i="8"/>
  <c r="DC161" i="8"/>
  <c r="DB161" i="8"/>
  <c r="DA161" i="8"/>
  <c r="CZ161" i="8"/>
  <c r="CY161" i="8"/>
  <c r="CX161" i="8"/>
  <c r="DE160" i="8"/>
  <c r="DD160" i="8"/>
  <c r="DC160" i="8"/>
  <c r="DB160" i="8"/>
  <c r="DA160" i="8"/>
  <c r="CZ160" i="8"/>
  <c r="CY160" i="8"/>
  <c r="CX160" i="8"/>
  <c r="DE159" i="8"/>
  <c r="DD159" i="8"/>
  <c r="DC159" i="8"/>
  <c r="DB159" i="8"/>
  <c r="DA159" i="8"/>
  <c r="CZ159" i="8"/>
  <c r="CY159" i="8"/>
  <c r="CX159" i="8"/>
  <c r="DE158" i="8"/>
  <c r="DD158" i="8"/>
  <c r="DC158" i="8"/>
  <c r="DB158" i="8"/>
  <c r="DA158" i="8"/>
  <c r="CZ158" i="8"/>
  <c r="CY158" i="8"/>
  <c r="CX158" i="8"/>
  <c r="DE157" i="8"/>
  <c r="DD157" i="8"/>
  <c r="DC157" i="8"/>
  <c r="DB157" i="8"/>
  <c r="DA157" i="8"/>
  <c r="CZ157" i="8"/>
  <c r="CY157" i="8"/>
  <c r="CX157" i="8"/>
  <c r="DE156" i="8"/>
  <c r="DD156" i="8"/>
  <c r="DC156" i="8"/>
  <c r="DB156" i="8"/>
  <c r="DA156" i="8"/>
  <c r="CZ156" i="8"/>
  <c r="CY156" i="8"/>
  <c r="CX156" i="8"/>
  <c r="DE155" i="8"/>
  <c r="DD155" i="8"/>
  <c r="DC155" i="8"/>
  <c r="DB155" i="8"/>
  <c r="DA155" i="8"/>
  <c r="CZ155" i="8"/>
  <c r="CY155" i="8"/>
  <c r="CX155" i="8"/>
  <c r="DE154" i="8"/>
  <c r="DD154" i="8"/>
  <c r="DC154" i="8"/>
  <c r="DB154" i="8"/>
  <c r="DA154" i="8"/>
  <c r="CZ154" i="8"/>
  <c r="CY154" i="8"/>
  <c r="CX154" i="8"/>
  <c r="DE153" i="8"/>
  <c r="DD153" i="8"/>
  <c r="DC153" i="8"/>
  <c r="DB153" i="8"/>
  <c r="DA153" i="8"/>
  <c r="CZ153" i="8"/>
  <c r="CY153" i="8"/>
  <c r="CX153" i="8"/>
  <c r="DE152" i="8"/>
  <c r="DD152" i="8"/>
  <c r="DC152" i="8"/>
  <c r="DB152" i="8"/>
  <c r="DA152" i="8"/>
  <c r="CZ152" i="8"/>
  <c r="CY152" i="8"/>
  <c r="CX152" i="8"/>
  <c r="DE151" i="8"/>
  <c r="DD151" i="8"/>
  <c r="DC151" i="8"/>
  <c r="DB151" i="8"/>
  <c r="DA151" i="8"/>
  <c r="CZ151" i="8"/>
  <c r="CY151" i="8"/>
  <c r="CX151" i="8"/>
  <c r="DE150" i="8"/>
  <c r="DD150" i="8"/>
  <c r="DC150" i="8"/>
  <c r="DB150" i="8"/>
  <c r="DA150" i="8"/>
  <c r="CZ150" i="8"/>
  <c r="CY150" i="8"/>
  <c r="CX150" i="8"/>
  <c r="DE149" i="8"/>
  <c r="DD149" i="8"/>
  <c r="DC149" i="8"/>
  <c r="DB149" i="8"/>
  <c r="DA149" i="8"/>
  <c r="CZ149" i="8"/>
  <c r="CY149" i="8"/>
  <c r="CX149" i="8"/>
  <c r="DE148" i="8"/>
  <c r="DD148" i="8"/>
  <c r="DC148" i="8"/>
  <c r="DB148" i="8"/>
  <c r="DA148" i="8"/>
  <c r="CZ148" i="8"/>
  <c r="CY148" i="8"/>
  <c r="CX148" i="8"/>
  <c r="DE147" i="8"/>
  <c r="DD147" i="8"/>
  <c r="DC147" i="8"/>
  <c r="DB147" i="8"/>
  <c r="DA147" i="8"/>
  <c r="CZ147" i="8"/>
  <c r="CY147" i="8"/>
  <c r="CX147" i="8"/>
  <c r="DE146" i="8"/>
  <c r="DD146" i="8"/>
  <c r="DC146" i="8"/>
  <c r="DB146" i="8"/>
  <c r="DA146" i="8"/>
  <c r="CZ146" i="8"/>
  <c r="CY146" i="8"/>
  <c r="CX146" i="8"/>
  <c r="DE145" i="8"/>
  <c r="DD145" i="8"/>
  <c r="DC145" i="8"/>
  <c r="DB145" i="8"/>
  <c r="DA145" i="8"/>
  <c r="CZ145" i="8"/>
  <c r="CY145" i="8"/>
  <c r="CX145" i="8"/>
  <c r="DE144" i="8"/>
  <c r="DD144" i="8"/>
  <c r="DC144" i="8"/>
  <c r="DB144" i="8"/>
  <c r="DA144" i="8"/>
  <c r="CZ144" i="8"/>
  <c r="CY144" i="8"/>
  <c r="CX144" i="8"/>
  <c r="DE143" i="8"/>
  <c r="DD143" i="8"/>
  <c r="DC143" i="8"/>
  <c r="DB143" i="8"/>
  <c r="DA143" i="8"/>
  <c r="CZ143" i="8"/>
  <c r="CY143" i="8"/>
  <c r="CX143" i="8"/>
  <c r="DE142" i="8"/>
  <c r="DD142" i="8"/>
  <c r="DC142" i="8"/>
  <c r="DB142" i="8"/>
  <c r="DA142" i="8"/>
  <c r="CZ142" i="8"/>
  <c r="CY142" i="8"/>
  <c r="CX142" i="8"/>
  <c r="DE141" i="8"/>
  <c r="DD141" i="8"/>
  <c r="DC141" i="8"/>
  <c r="DB141" i="8"/>
  <c r="DA141" i="8"/>
  <c r="CZ141" i="8"/>
  <c r="CY141" i="8"/>
  <c r="CX141" i="8"/>
  <c r="DE140" i="8"/>
  <c r="DD140" i="8"/>
  <c r="DC140" i="8"/>
  <c r="DB140" i="8"/>
  <c r="DA140" i="8"/>
  <c r="CZ140" i="8"/>
  <c r="CY140" i="8"/>
  <c r="CX140" i="8"/>
  <c r="DE139" i="8"/>
  <c r="DD139" i="8"/>
  <c r="DC139" i="8"/>
  <c r="DB139" i="8"/>
  <c r="DA139" i="8"/>
  <c r="CZ139" i="8"/>
  <c r="CY139" i="8"/>
  <c r="CX139" i="8"/>
  <c r="DE138" i="8"/>
  <c r="DD138" i="8"/>
  <c r="DC138" i="8"/>
  <c r="DB138" i="8"/>
  <c r="DA138" i="8"/>
  <c r="CZ138" i="8"/>
  <c r="CY138" i="8"/>
  <c r="CX138" i="8"/>
  <c r="DE137" i="8"/>
  <c r="DD137" i="8"/>
  <c r="DC137" i="8"/>
  <c r="DB137" i="8"/>
  <c r="DA137" i="8"/>
  <c r="CZ137" i="8"/>
  <c r="CY137" i="8"/>
  <c r="CX137" i="8"/>
  <c r="DE136" i="8"/>
  <c r="DD136" i="8"/>
  <c r="DC136" i="8"/>
  <c r="DB136" i="8"/>
  <c r="DA136" i="8"/>
  <c r="CZ136" i="8"/>
  <c r="CY136" i="8"/>
  <c r="CX136" i="8"/>
  <c r="DE135" i="8"/>
  <c r="DD135" i="8"/>
  <c r="DC135" i="8"/>
  <c r="DB135" i="8"/>
  <c r="DA135" i="8"/>
  <c r="CZ135" i="8"/>
  <c r="CY135" i="8"/>
  <c r="CX135" i="8"/>
  <c r="DE134" i="8"/>
  <c r="DD134" i="8"/>
  <c r="DC134" i="8"/>
  <c r="DB134" i="8"/>
  <c r="DA134" i="8"/>
  <c r="CZ134" i="8"/>
  <c r="CY134" i="8"/>
  <c r="CX134" i="8"/>
  <c r="DE133" i="8"/>
  <c r="DD133" i="8"/>
  <c r="DC133" i="8"/>
  <c r="DB133" i="8"/>
  <c r="DA133" i="8"/>
  <c r="CZ133" i="8"/>
  <c r="CY133" i="8"/>
  <c r="CX133" i="8"/>
  <c r="DE132" i="8"/>
  <c r="DD132" i="8"/>
  <c r="DC132" i="8"/>
  <c r="DB132" i="8"/>
  <c r="DA132" i="8"/>
  <c r="CZ132" i="8"/>
  <c r="CY132" i="8"/>
  <c r="CX132" i="8"/>
  <c r="DE131" i="8"/>
  <c r="DD131" i="8"/>
  <c r="DC131" i="8"/>
  <c r="DB131" i="8"/>
  <c r="DA131" i="8"/>
  <c r="CZ131" i="8"/>
  <c r="CY131" i="8"/>
  <c r="CX131" i="8"/>
  <c r="DE130" i="8"/>
  <c r="DD130" i="8"/>
  <c r="DC130" i="8"/>
  <c r="DB130" i="8"/>
  <c r="DA130" i="8"/>
  <c r="CZ130" i="8"/>
  <c r="CY130" i="8"/>
  <c r="CX130" i="8"/>
  <c r="DE129" i="8"/>
  <c r="DD129" i="8"/>
  <c r="DC129" i="8"/>
  <c r="DB129" i="8"/>
  <c r="DA129" i="8"/>
  <c r="CZ129" i="8"/>
  <c r="CY129" i="8"/>
  <c r="CX129" i="8"/>
  <c r="DE128" i="8"/>
  <c r="DD128" i="8"/>
  <c r="DC128" i="8"/>
  <c r="DB128" i="8"/>
  <c r="DA128" i="8"/>
  <c r="CZ128" i="8"/>
  <c r="CY128" i="8"/>
  <c r="CX128" i="8"/>
  <c r="DE127" i="8"/>
  <c r="DD127" i="8"/>
  <c r="DC127" i="8"/>
  <c r="DB127" i="8"/>
  <c r="DA127" i="8"/>
  <c r="CZ127" i="8"/>
  <c r="CY127" i="8"/>
  <c r="CX127" i="8"/>
  <c r="DE126" i="8"/>
  <c r="DD126" i="8"/>
  <c r="DC126" i="8"/>
  <c r="DB126" i="8"/>
  <c r="DA126" i="8"/>
  <c r="CZ126" i="8"/>
  <c r="CY126" i="8"/>
  <c r="CX126" i="8"/>
  <c r="DE125" i="8"/>
  <c r="DD125" i="8"/>
  <c r="DC125" i="8"/>
  <c r="DB125" i="8"/>
  <c r="DA125" i="8"/>
  <c r="CZ125" i="8"/>
  <c r="CY125" i="8"/>
  <c r="CX125" i="8"/>
  <c r="DE124" i="8"/>
  <c r="DD124" i="8"/>
  <c r="DC124" i="8"/>
  <c r="DB124" i="8"/>
  <c r="DA124" i="8"/>
  <c r="CZ124" i="8"/>
  <c r="CY124" i="8"/>
  <c r="CX124" i="8"/>
  <c r="DE123" i="8"/>
  <c r="DD123" i="8"/>
  <c r="DC123" i="8"/>
  <c r="DB123" i="8"/>
  <c r="DA123" i="8"/>
  <c r="CZ123" i="8"/>
  <c r="CY123" i="8"/>
  <c r="CX123" i="8"/>
  <c r="DE122" i="8"/>
  <c r="DD122" i="8"/>
  <c r="DC122" i="8"/>
  <c r="DB122" i="8"/>
  <c r="DA122" i="8"/>
  <c r="CZ122" i="8"/>
  <c r="CY122" i="8"/>
  <c r="CX122" i="8"/>
  <c r="DE121" i="8"/>
  <c r="DD121" i="8"/>
  <c r="DC121" i="8"/>
  <c r="DB121" i="8"/>
  <c r="DA121" i="8"/>
  <c r="CZ121" i="8"/>
  <c r="CY121" i="8"/>
  <c r="CX121" i="8"/>
  <c r="DE120" i="8"/>
  <c r="DD120" i="8"/>
  <c r="DC120" i="8"/>
  <c r="DB120" i="8"/>
  <c r="DA120" i="8"/>
  <c r="CZ120" i="8"/>
  <c r="CY120" i="8"/>
  <c r="CX120" i="8"/>
  <c r="DE119" i="8"/>
  <c r="DD119" i="8"/>
  <c r="DC119" i="8"/>
  <c r="DB119" i="8"/>
  <c r="DA119" i="8"/>
  <c r="CZ119" i="8"/>
  <c r="CY119" i="8"/>
  <c r="CX119" i="8"/>
  <c r="DE118" i="8"/>
  <c r="DD118" i="8"/>
  <c r="DC118" i="8"/>
  <c r="DB118" i="8"/>
  <c r="DA118" i="8"/>
  <c r="CZ118" i="8"/>
  <c r="CY118" i="8"/>
  <c r="CX118" i="8"/>
  <c r="DE117" i="8"/>
  <c r="DD117" i="8"/>
  <c r="DC117" i="8"/>
  <c r="DB117" i="8"/>
  <c r="DA117" i="8"/>
  <c r="CZ117" i="8"/>
  <c r="CY117" i="8"/>
  <c r="CX117" i="8"/>
  <c r="DE116" i="8"/>
  <c r="DD116" i="8"/>
  <c r="DC116" i="8"/>
  <c r="DB116" i="8"/>
  <c r="DA116" i="8"/>
  <c r="CZ116" i="8"/>
  <c r="CY116" i="8"/>
  <c r="CX116" i="8"/>
  <c r="DE115" i="8"/>
  <c r="DD115" i="8"/>
  <c r="DC115" i="8"/>
  <c r="DB115" i="8"/>
  <c r="DA115" i="8"/>
  <c r="CZ115" i="8"/>
  <c r="CY115" i="8"/>
  <c r="CX115" i="8"/>
  <c r="DE114" i="8"/>
  <c r="DD114" i="8"/>
  <c r="DC114" i="8"/>
  <c r="DB114" i="8"/>
  <c r="DA114" i="8"/>
  <c r="CZ114" i="8"/>
  <c r="CY114" i="8"/>
  <c r="CX114" i="8"/>
  <c r="DE113" i="8"/>
  <c r="DD113" i="8"/>
  <c r="DC113" i="8"/>
  <c r="DB113" i="8"/>
  <c r="DA113" i="8"/>
  <c r="CZ113" i="8"/>
  <c r="CY113" i="8"/>
  <c r="CX113" i="8"/>
  <c r="DE112" i="8"/>
  <c r="DD112" i="8"/>
  <c r="DC112" i="8"/>
  <c r="DB112" i="8"/>
  <c r="DA112" i="8"/>
  <c r="CZ112" i="8"/>
  <c r="CY112" i="8"/>
  <c r="CX112" i="8"/>
  <c r="DE111" i="8"/>
  <c r="DD111" i="8"/>
  <c r="DC111" i="8"/>
  <c r="DB111" i="8"/>
  <c r="DA111" i="8"/>
  <c r="CZ111" i="8"/>
  <c r="CY111" i="8"/>
  <c r="CX111" i="8"/>
  <c r="DE110" i="8"/>
  <c r="DD110" i="8"/>
  <c r="DC110" i="8"/>
  <c r="DB110" i="8"/>
  <c r="DA110" i="8"/>
  <c r="CZ110" i="8"/>
  <c r="CY110" i="8"/>
  <c r="CX110" i="8"/>
  <c r="DE109" i="8"/>
  <c r="DD109" i="8"/>
  <c r="DC109" i="8"/>
  <c r="DB109" i="8"/>
  <c r="DA109" i="8"/>
  <c r="CZ109" i="8"/>
  <c r="CY109" i="8"/>
  <c r="CX109" i="8"/>
  <c r="DE108" i="8"/>
  <c r="DD108" i="8"/>
  <c r="DC108" i="8"/>
  <c r="DB108" i="8"/>
  <c r="DA108" i="8"/>
  <c r="CZ108" i="8"/>
  <c r="CY108" i="8"/>
  <c r="CX108" i="8"/>
  <c r="DE107" i="8"/>
  <c r="DD107" i="8"/>
  <c r="DC107" i="8"/>
  <c r="DB107" i="8"/>
  <c r="DA107" i="8"/>
  <c r="CZ107" i="8"/>
  <c r="CY107" i="8"/>
  <c r="CX107" i="8"/>
  <c r="DE106" i="8"/>
  <c r="DD106" i="8"/>
  <c r="DC106" i="8"/>
  <c r="DB106" i="8"/>
  <c r="DA106" i="8"/>
  <c r="CZ106" i="8"/>
  <c r="CY106" i="8"/>
  <c r="CX106" i="8"/>
  <c r="DE105" i="8"/>
  <c r="DD105" i="8"/>
  <c r="DC105" i="8"/>
  <c r="DB105" i="8"/>
  <c r="DA105" i="8"/>
  <c r="CZ105" i="8"/>
  <c r="CY105" i="8"/>
  <c r="CX105" i="8"/>
  <c r="DE104" i="8"/>
  <c r="DD104" i="8"/>
  <c r="DC104" i="8"/>
  <c r="DB104" i="8"/>
  <c r="DA104" i="8"/>
  <c r="CZ104" i="8"/>
  <c r="CY104" i="8"/>
  <c r="CX104" i="8"/>
  <c r="DE103" i="8"/>
  <c r="DD103" i="8"/>
  <c r="DC103" i="8"/>
  <c r="DB103" i="8"/>
  <c r="DA103" i="8"/>
  <c r="CZ103" i="8"/>
  <c r="CY103" i="8"/>
  <c r="CX103" i="8"/>
  <c r="DE102" i="8"/>
  <c r="DD102" i="8"/>
  <c r="DC102" i="8"/>
  <c r="DB102" i="8"/>
  <c r="DA102" i="8"/>
  <c r="CZ102" i="8"/>
  <c r="CY102" i="8"/>
  <c r="CX102" i="8"/>
  <c r="DE101" i="8"/>
  <c r="DD101" i="8"/>
  <c r="DC101" i="8"/>
  <c r="DB101" i="8"/>
  <c r="DA101" i="8"/>
  <c r="CZ101" i="8"/>
  <c r="CY101" i="8"/>
  <c r="CX101" i="8"/>
  <c r="DE100" i="8"/>
  <c r="DD100" i="8"/>
  <c r="DC100" i="8"/>
  <c r="DB100" i="8"/>
  <c r="DA100" i="8"/>
  <c r="CZ100" i="8"/>
  <c r="CY100" i="8"/>
  <c r="CX100" i="8"/>
  <c r="DE99" i="8"/>
  <c r="DD99" i="8"/>
  <c r="DC99" i="8"/>
  <c r="DB99" i="8"/>
  <c r="DA99" i="8"/>
  <c r="CZ99" i="8"/>
  <c r="CY99" i="8"/>
  <c r="CX99" i="8"/>
  <c r="DE98" i="8"/>
  <c r="DD98" i="8"/>
  <c r="DC98" i="8"/>
  <c r="DB98" i="8"/>
  <c r="DA98" i="8"/>
  <c r="CZ98" i="8"/>
  <c r="CY98" i="8"/>
  <c r="CX98" i="8"/>
  <c r="DE97" i="8"/>
  <c r="DD97" i="8"/>
  <c r="DC97" i="8"/>
  <c r="DB97" i="8"/>
  <c r="DA97" i="8"/>
  <c r="CZ97" i="8"/>
  <c r="CY97" i="8"/>
  <c r="CX97" i="8"/>
  <c r="DE96" i="8"/>
  <c r="DD96" i="8"/>
  <c r="DC96" i="8"/>
  <c r="DB96" i="8"/>
  <c r="DA96" i="8"/>
  <c r="CZ96" i="8"/>
  <c r="CY96" i="8"/>
  <c r="CX96" i="8"/>
  <c r="DE95" i="8"/>
  <c r="DD95" i="8"/>
  <c r="DC95" i="8"/>
  <c r="DB95" i="8"/>
  <c r="DA95" i="8"/>
  <c r="CZ95" i="8"/>
  <c r="CY95" i="8"/>
  <c r="CX95" i="8"/>
  <c r="DE94" i="8"/>
  <c r="DD94" i="8"/>
  <c r="DC94" i="8"/>
  <c r="DB94" i="8"/>
  <c r="DA94" i="8"/>
  <c r="CZ94" i="8"/>
  <c r="CY94" i="8"/>
  <c r="CX94" i="8"/>
  <c r="DE93" i="8"/>
  <c r="DD93" i="8"/>
  <c r="DC93" i="8"/>
  <c r="DB93" i="8"/>
  <c r="DA93" i="8"/>
  <c r="CZ93" i="8"/>
  <c r="CY93" i="8"/>
  <c r="CX93" i="8"/>
  <c r="DE92" i="8"/>
  <c r="DD92" i="8"/>
  <c r="DC92" i="8"/>
  <c r="DB92" i="8"/>
  <c r="DA92" i="8"/>
  <c r="CZ92" i="8"/>
  <c r="CY92" i="8"/>
  <c r="CX92" i="8"/>
  <c r="DE91" i="8"/>
  <c r="DD91" i="8"/>
  <c r="DC91" i="8"/>
  <c r="DB91" i="8"/>
  <c r="DA91" i="8"/>
  <c r="CZ91" i="8"/>
  <c r="CY91" i="8"/>
  <c r="CX91" i="8"/>
  <c r="DE90" i="8"/>
  <c r="DD90" i="8"/>
  <c r="DC90" i="8"/>
  <c r="DB90" i="8"/>
  <c r="DA90" i="8"/>
  <c r="CZ90" i="8"/>
  <c r="CY90" i="8"/>
  <c r="CX90" i="8"/>
  <c r="DE89" i="8"/>
  <c r="DD89" i="8"/>
  <c r="DC89" i="8"/>
  <c r="DB89" i="8"/>
  <c r="DA89" i="8"/>
  <c r="CZ89" i="8"/>
  <c r="CY89" i="8"/>
  <c r="CX89" i="8"/>
  <c r="DE88" i="8"/>
  <c r="DD88" i="8"/>
  <c r="DC88" i="8"/>
  <c r="DB88" i="8"/>
  <c r="DA88" i="8"/>
  <c r="CZ88" i="8"/>
  <c r="CY88" i="8"/>
  <c r="CX88" i="8"/>
  <c r="DE87" i="8"/>
  <c r="DD87" i="8"/>
  <c r="DC87" i="8"/>
  <c r="DB87" i="8"/>
  <c r="DA87" i="8"/>
  <c r="CZ87" i="8"/>
  <c r="CY87" i="8"/>
  <c r="CX87" i="8"/>
  <c r="DE86" i="8"/>
  <c r="DD86" i="8"/>
  <c r="DC86" i="8"/>
  <c r="DB86" i="8"/>
  <c r="DA86" i="8"/>
  <c r="CZ86" i="8"/>
  <c r="CY86" i="8"/>
  <c r="CX86" i="8"/>
  <c r="DE85" i="8"/>
  <c r="DD85" i="8"/>
  <c r="DC85" i="8"/>
  <c r="DB85" i="8"/>
  <c r="DA85" i="8"/>
  <c r="CZ85" i="8"/>
  <c r="CY85" i="8"/>
  <c r="CX85" i="8"/>
  <c r="DE84" i="8"/>
  <c r="DD84" i="8"/>
  <c r="DC84" i="8"/>
  <c r="DB84" i="8"/>
  <c r="DA84" i="8"/>
  <c r="CZ84" i="8"/>
  <c r="CY84" i="8"/>
  <c r="CX84" i="8"/>
  <c r="DE83" i="8"/>
  <c r="DD83" i="8"/>
  <c r="DC83" i="8"/>
  <c r="DB83" i="8"/>
  <c r="DA83" i="8"/>
  <c r="CZ83" i="8"/>
  <c r="CY83" i="8"/>
  <c r="CX83" i="8"/>
  <c r="DE82" i="8"/>
  <c r="DD82" i="8"/>
  <c r="DC82" i="8"/>
  <c r="DB82" i="8"/>
  <c r="DA82" i="8"/>
  <c r="CZ82" i="8"/>
  <c r="CY82" i="8"/>
  <c r="CX82" i="8"/>
  <c r="DE81" i="8"/>
  <c r="DD81" i="8"/>
  <c r="DC81" i="8"/>
  <c r="DB81" i="8"/>
  <c r="DA81" i="8"/>
  <c r="CZ81" i="8"/>
  <c r="CY81" i="8"/>
  <c r="CX81" i="8"/>
  <c r="DE80" i="8"/>
  <c r="DD80" i="8"/>
  <c r="DC80" i="8"/>
  <c r="DB80" i="8"/>
  <c r="DA80" i="8"/>
  <c r="CZ80" i="8"/>
  <c r="CY80" i="8"/>
  <c r="CX80" i="8"/>
  <c r="DE79" i="8"/>
  <c r="DD79" i="8"/>
  <c r="DC79" i="8"/>
  <c r="DB79" i="8"/>
  <c r="DA79" i="8"/>
  <c r="CZ79" i="8"/>
  <c r="CY79" i="8"/>
  <c r="CX79" i="8"/>
  <c r="DE78" i="8"/>
  <c r="DD78" i="8"/>
  <c r="DC78" i="8"/>
  <c r="DB78" i="8"/>
  <c r="DA78" i="8"/>
  <c r="CZ78" i="8"/>
  <c r="CY78" i="8"/>
  <c r="CX78" i="8"/>
  <c r="DE77" i="8"/>
  <c r="DD77" i="8"/>
  <c r="DC77" i="8"/>
  <c r="DB77" i="8"/>
  <c r="DA77" i="8"/>
  <c r="CZ77" i="8"/>
  <c r="CY77" i="8"/>
  <c r="CX77" i="8"/>
  <c r="DE76" i="8"/>
  <c r="DD76" i="8"/>
  <c r="DC76" i="8"/>
  <c r="DB76" i="8"/>
  <c r="DA76" i="8"/>
  <c r="CZ76" i="8"/>
  <c r="CY76" i="8"/>
  <c r="CX76" i="8"/>
  <c r="DE75" i="8"/>
  <c r="DD75" i="8"/>
  <c r="DC75" i="8"/>
  <c r="DB75" i="8"/>
  <c r="DA75" i="8"/>
  <c r="CZ75" i="8"/>
  <c r="CY75" i="8"/>
  <c r="CX75" i="8"/>
  <c r="DE74" i="8"/>
  <c r="DD74" i="8"/>
  <c r="DC74" i="8"/>
  <c r="DB74" i="8"/>
  <c r="DA74" i="8"/>
  <c r="CZ74" i="8"/>
  <c r="CY74" i="8"/>
  <c r="CX74" i="8"/>
  <c r="DE73" i="8"/>
  <c r="DD73" i="8"/>
  <c r="DC73" i="8"/>
  <c r="DB73" i="8"/>
  <c r="DA73" i="8"/>
  <c r="CZ73" i="8"/>
  <c r="CY73" i="8"/>
  <c r="CX73" i="8"/>
  <c r="DE72" i="8"/>
  <c r="DD72" i="8"/>
  <c r="DC72" i="8"/>
  <c r="DB72" i="8"/>
  <c r="DA72" i="8"/>
  <c r="CZ72" i="8"/>
  <c r="CY72" i="8"/>
  <c r="CX72" i="8"/>
  <c r="DE71" i="8"/>
  <c r="DD71" i="8"/>
  <c r="DC71" i="8"/>
  <c r="DB71" i="8"/>
  <c r="DA71" i="8"/>
  <c r="CZ71" i="8"/>
  <c r="CY71" i="8"/>
  <c r="CX71" i="8"/>
  <c r="DE70" i="8"/>
  <c r="DD70" i="8"/>
  <c r="DC70" i="8"/>
  <c r="DB70" i="8"/>
  <c r="DA70" i="8"/>
  <c r="CZ70" i="8"/>
  <c r="CY70" i="8"/>
  <c r="CX70" i="8"/>
  <c r="DE69" i="8"/>
  <c r="DD69" i="8"/>
  <c r="DC69" i="8"/>
  <c r="DB69" i="8"/>
  <c r="DA69" i="8"/>
  <c r="CZ69" i="8"/>
  <c r="CY69" i="8"/>
  <c r="CX69" i="8"/>
  <c r="DE68" i="8"/>
  <c r="DD68" i="8"/>
  <c r="DC68" i="8"/>
  <c r="DB68" i="8"/>
  <c r="DA68" i="8"/>
  <c r="CZ68" i="8"/>
  <c r="CY68" i="8"/>
  <c r="CX68" i="8"/>
  <c r="DE67" i="8"/>
  <c r="DD67" i="8"/>
  <c r="DC67" i="8"/>
  <c r="DB67" i="8"/>
  <c r="DA67" i="8"/>
  <c r="CZ67" i="8"/>
  <c r="CY67" i="8"/>
  <c r="CX67" i="8"/>
  <c r="DE66" i="8"/>
  <c r="DD66" i="8"/>
  <c r="DC66" i="8"/>
  <c r="DB66" i="8"/>
  <c r="DA66" i="8"/>
  <c r="CZ66" i="8"/>
  <c r="CY66" i="8"/>
  <c r="CX66" i="8"/>
  <c r="DE65" i="8"/>
  <c r="DD65" i="8"/>
  <c r="DC65" i="8"/>
  <c r="DB65" i="8"/>
  <c r="DA65" i="8"/>
  <c r="CZ65" i="8"/>
  <c r="CY65" i="8"/>
  <c r="CX65" i="8"/>
  <c r="DE64" i="8"/>
  <c r="DD64" i="8"/>
  <c r="DC64" i="8"/>
  <c r="DB64" i="8"/>
  <c r="DA64" i="8"/>
  <c r="CZ64" i="8"/>
  <c r="CY64" i="8"/>
  <c r="CX64" i="8"/>
  <c r="DE63" i="8"/>
  <c r="DD63" i="8"/>
  <c r="DC63" i="8"/>
  <c r="DB63" i="8"/>
  <c r="DA63" i="8"/>
  <c r="CZ63" i="8"/>
  <c r="CY63" i="8"/>
  <c r="CX63" i="8"/>
  <c r="DE62" i="8"/>
  <c r="DD62" i="8"/>
  <c r="DC62" i="8"/>
  <c r="DB62" i="8"/>
  <c r="DA62" i="8"/>
  <c r="CZ62" i="8"/>
  <c r="CY62" i="8"/>
  <c r="CX62" i="8"/>
  <c r="DE61" i="8"/>
  <c r="DD61" i="8"/>
  <c r="DC61" i="8"/>
  <c r="DB61" i="8"/>
  <c r="DA61" i="8"/>
  <c r="CZ61" i="8"/>
  <c r="CY61" i="8"/>
  <c r="CX61" i="8"/>
  <c r="DE60" i="8"/>
  <c r="DD60" i="8"/>
  <c r="DC60" i="8"/>
  <c r="DB60" i="8"/>
  <c r="DA60" i="8"/>
  <c r="CZ60" i="8"/>
  <c r="CY60" i="8"/>
  <c r="CX60" i="8"/>
  <c r="DE59" i="8"/>
  <c r="DD59" i="8"/>
  <c r="DC59" i="8"/>
  <c r="DB59" i="8"/>
  <c r="DA59" i="8"/>
  <c r="CZ59" i="8"/>
  <c r="CY59" i="8"/>
  <c r="CX59" i="8"/>
  <c r="DE58" i="8"/>
  <c r="DD58" i="8"/>
  <c r="DC58" i="8"/>
  <c r="DB58" i="8"/>
  <c r="DA58" i="8"/>
  <c r="CZ58" i="8"/>
  <c r="CY58" i="8"/>
  <c r="CX58" i="8"/>
  <c r="DE57" i="8"/>
  <c r="DD57" i="8"/>
  <c r="DC57" i="8"/>
  <c r="DB57" i="8"/>
  <c r="DA57" i="8"/>
  <c r="CZ57" i="8"/>
  <c r="CY57" i="8"/>
  <c r="CX57" i="8"/>
  <c r="DE56" i="8"/>
  <c r="DD56" i="8"/>
  <c r="DC56" i="8"/>
  <c r="DB56" i="8"/>
  <c r="DA56" i="8"/>
  <c r="CZ56" i="8"/>
  <c r="CY56" i="8"/>
  <c r="CX56" i="8"/>
  <c r="DE55" i="8"/>
  <c r="DD55" i="8"/>
  <c r="DC55" i="8"/>
  <c r="DB55" i="8"/>
  <c r="DA55" i="8"/>
  <c r="CZ55" i="8"/>
  <c r="CY55" i="8"/>
  <c r="CX55" i="8"/>
  <c r="DE54" i="8"/>
  <c r="DD54" i="8"/>
  <c r="DC54" i="8"/>
  <c r="DB54" i="8"/>
  <c r="DA54" i="8"/>
  <c r="CZ54" i="8"/>
  <c r="CY54" i="8"/>
  <c r="CX54" i="8"/>
  <c r="DE53" i="8"/>
  <c r="DD53" i="8"/>
  <c r="DC53" i="8"/>
  <c r="DB53" i="8"/>
  <c r="DA53" i="8"/>
  <c r="CZ53" i="8"/>
  <c r="CY53" i="8"/>
  <c r="CX53" i="8"/>
  <c r="DE52" i="8"/>
  <c r="DD52" i="8"/>
  <c r="DC52" i="8"/>
  <c r="DB52" i="8"/>
  <c r="DA52" i="8"/>
  <c r="CZ52" i="8"/>
  <c r="CY52" i="8"/>
  <c r="CX52" i="8"/>
  <c r="DE51" i="8"/>
  <c r="DD51" i="8"/>
  <c r="DC51" i="8"/>
  <c r="DB51" i="8"/>
  <c r="DA51" i="8"/>
  <c r="CZ51" i="8"/>
  <c r="CY51" i="8"/>
  <c r="CX51" i="8"/>
  <c r="DE50" i="8"/>
  <c r="DD50" i="8"/>
  <c r="DC50" i="8"/>
  <c r="DB50" i="8"/>
  <c r="DA50" i="8"/>
  <c r="CZ50" i="8"/>
  <c r="CY50" i="8"/>
  <c r="CX50" i="8"/>
  <c r="DE49" i="8"/>
  <c r="DD49" i="8"/>
  <c r="DC49" i="8"/>
  <c r="DB49" i="8"/>
  <c r="DA49" i="8"/>
  <c r="CZ49" i="8"/>
  <c r="CY49" i="8"/>
  <c r="CX49" i="8"/>
  <c r="DE48" i="8"/>
  <c r="DD48" i="8"/>
  <c r="DC48" i="8"/>
  <c r="DB48" i="8"/>
  <c r="DA48" i="8"/>
  <c r="CZ48" i="8"/>
  <c r="CY48" i="8"/>
  <c r="CX48" i="8"/>
  <c r="DE47" i="8"/>
  <c r="DD47" i="8"/>
  <c r="DC47" i="8"/>
  <c r="DB47" i="8"/>
  <c r="DA47" i="8"/>
  <c r="CZ47" i="8"/>
  <c r="CY47" i="8"/>
  <c r="CX47" i="8"/>
  <c r="DE46" i="8"/>
  <c r="DD46" i="8"/>
  <c r="DC46" i="8"/>
  <c r="DB46" i="8"/>
  <c r="DA46" i="8"/>
  <c r="CZ46" i="8"/>
  <c r="CY46" i="8"/>
  <c r="CX46" i="8"/>
  <c r="DE45" i="8"/>
  <c r="DD45" i="8"/>
  <c r="DC45" i="8"/>
  <c r="DB45" i="8"/>
  <c r="DA45" i="8"/>
  <c r="CZ45" i="8"/>
  <c r="CY45" i="8"/>
  <c r="CX45" i="8"/>
  <c r="DE44" i="8"/>
  <c r="DD44" i="8"/>
  <c r="DC44" i="8"/>
  <c r="DB44" i="8"/>
  <c r="DA44" i="8"/>
  <c r="CZ44" i="8"/>
  <c r="CY44" i="8"/>
  <c r="CX44" i="8"/>
  <c r="DE43" i="8"/>
  <c r="DD43" i="8"/>
  <c r="DC43" i="8"/>
  <c r="DB43" i="8"/>
  <c r="DA43" i="8"/>
  <c r="CZ43" i="8"/>
  <c r="CY43" i="8"/>
  <c r="CX43" i="8"/>
  <c r="DE42" i="8"/>
  <c r="DD42" i="8"/>
  <c r="DC42" i="8"/>
  <c r="DB42" i="8"/>
  <c r="DA42" i="8"/>
  <c r="CZ42" i="8"/>
  <c r="CY42" i="8"/>
  <c r="CX42" i="8"/>
  <c r="DE41" i="8"/>
  <c r="DD41" i="8"/>
  <c r="DC41" i="8"/>
  <c r="DB41" i="8"/>
  <c r="DA41" i="8"/>
  <c r="CZ41" i="8"/>
  <c r="CY41" i="8"/>
  <c r="CX41" i="8"/>
  <c r="DE40" i="8"/>
  <c r="DD40" i="8"/>
  <c r="DC40" i="8"/>
  <c r="DB40" i="8"/>
  <c r="DA40" i="8"/>
  <c r="CZ40" i="8"/>
  <c r="CY40" i="8"/>
  <c r="CX40" i="8"/>
  <c r="DE39" i="8"/>
  <c r="DD39" i="8"/>
  <c r="DC39" i="8"/>
  <c r="DB39" i="8"/>
  <c r="DA39" i="8"/>
  <c r="CZ39" i="8"/>
  <c r="CY39" i="8"/>
  <c r="CX39" i="8"/>
  <c r="DE38" i="8"/>
  <c r="DD38" i="8"/>
  <c r="DC38" i="8"/>
  <c r="DB38" i="8"/>
  <c r="DA38" i="8"/>
  <c r="CZ38" i="8"/>
  <c r="CY38" i="8"/>
  <c r="CX38" i="8"/>
  <c r="DE37" i="8"/>
  <c r="DD37" i="8"/>
  <c r="DC37" i="8"/>
  <c r="DB37" i="8"/>
  <c r="DA37" i="8"/>
  <c r="CZ37" i="8"/>
  <c r="CY37" i="8"/>
  <c r="CX37" i="8"/>
  <c r="DE36" i="8"/>
  <c r="DD36" i="8"/>
  <c r="DC36" i="8"/>
  <c r="DB36" i="8"/>
  <c r="DA36" i="8"/>
  <c r="CZ36" i="8"/>
  <c r="CY36" i="8"/>
  <c r="CX36" i="8"/>
  <c r="DE35" i="8"/>
  <c r="DD35" i="8"/>
  <c r="DC35" i="8"/>
  <c r="DB35" i="8"/>
  <c r="DA35" i="8"/>
  <c r="CZ35" i="8"/>
  <c r="CY35" i="8"/>
  <c r="CX35" i="8"/>
  <c r="DE34" i="8"/>
  <c r="DD34" i="8"/>
  <c r="DC34" i="8"/>
  <c r="DB34" i="8"/>
  <c r="DA34" i="8"/>
  <c r="CZ34" i="8"/>
  <c r="CY34" i="8"/>
  <c r="CX34" i="8"/>
  <c r="DE33" i="8"/>
  <c r="DD33" i="8"/>
  <c r="DC33" i="8"/>
  <c r="DB33" i="8"/>
  <c r="DA33" i="8"/>
  <c r="CZ33" i="8"/>
  <c r="CY33" i="8"/>
  <c r="CX33" i="8"/>
  <c r="DE32" i="8"/>
  <c r="DD32" i="8"/>
  <c r="DC32" i="8"/>
  <c r="DB32" i="8"/>
  <c r="DA32" i="8"/>
  <c r="CZ32" i="8"/>
  <c r="CY32" i="8"/>
  <c r="CX32" i="8"/>
  <c r="DE31" i="8"/>
  <c r="DD31" i="8"/>
  <c r="DC31" i="8"/>
  <c r="DB31" i="8"/>
  <c r="DA31" i="8"/>
  <c r="CZ31" i="8"/>
  <c r="CY31" i="8"/>
  <c r="CX31" i="8"/>
  <c r="DE30" i="8"/>
  <c r="DD30" i="8"/>
  <c r="DC30" i="8"/>
  <c r="DB30" i="8"/>
  <c r="DA30" i="8"/>
  <c r="CZ30" i="8"/>
  <c r="CY30" i="8"/>
  <c r="CX30" i="8"/>
  <c r="DE29" i="8"/>
  <c r="DD29" i="8"/>
  <c r="DC29" i="8"/>
  <c r="DB29" i="8"/>
  <c r="DA29" i="8"/>
  <c r="CZ29" i="8"/>
  <c r="CY29" i="8"/>
  <c r="CX29" i="8"/>
  <c r="DE28" i="8"/>
  <c r="DD28" i="8"/>
  <c r="DC28" i="8"/>
  <c r="DB28" i="8"/>
  <c r="DA28" i="8"/>
  <c r="CZ28" i="8"/>
  <c r="CY28" i="8"/>
  <c r="CX28" i="8"/>
  <c r="DE27" i="8"/>
  <c r="DD27" i="8"/>
  <c r="DC27" i="8"/>
  <c r="DB27" i="8"/>
  <c r="DA27" i="8"/>
  <c r="CZ27" i="8"/>
  <c r="CY27" i="8"/>
  <c r="CX27" i="8"/>
  <c r="DE26" i="8"/>
  <c r="DD26" i="8"/>
  <c r="DC26" i="8"/>
  <c r="DB26" i="8"/>
  <c r="DA26" i="8"/>
  <c r="CZ26" i="8"/>
  <c r="CY26" i="8"/>
  <c r="CX26" i="8"/>
  <c r="DE25" i="8"/>
  <c r="DD25" i="8"/>
  <c r="DC25" i="8"/>
  <c r="DB25" i="8"/>
  <c r="DA25" i="8"/>
  <c r="CZ25" i="8"/>
  <c r="CY25" i="8"/>
  <c r="CX25" i="8"/>
  <c r="DE24" i="8"/>
  <c r="DD24" i="8"/>
  <c r="DC24" i="8"/>
  <c r="DB24" i="8"/>
  <c r="DA24" i="8"/>
  <c r="CZ24" i="8"/>
  <c r="CY24" i="8"/>
  <c r="CX24" i="8"/>
  <c r="DE23" i="8"/>
  <c r="DD23" i="8"/>
  <c r="DC23" i="8"/>
  <c r="DB23" i="8"/>
  <c r="DA23" i="8"/>
  <c r="CZ23" i="8"/>
  <c r="CY23" i="8"/>
  <c r="CX23" i="8"/>
  <c r="DE22" i="8"/>
  <c r="DD22" i="8"/>
  <c r="DC22" i="8"/>
  <c r="DB22" i="8"/>
  <c r="DA22" i="8"/>
  <c r="CZ22" i="8"/>
  <c r="CY22" i="8"/>
  <c r="CX22" i="8"/>
  <c r="DE21" i="8"/>
  <c r="DD21" i="8"/>
  <c r="DC21" i="8"/>
  <c r="DB21" i="8"/>
  <c r="DA21" i="8"/>
  <c r="CZ21" i="8"/>
  <c r="CY21" i="8"/>
  <c r="CX21" i="8"/>
  <c r="DE20" i="8"/>
  <c r="DD20" i="8"/>
  <c r="DC20" i="8"/>
  <c r="DB20" i="8"/>
  <c r="DA20" i="8"/>
  <c r="CZ20" i="8"/>
  <c r="CY20" i="8"/>
  <c r="CX20" i="8"/>
  <c r="DE19" i="8"/>
  <c r="DD19" i="8"/>
  <c r="DC19" i="8"/>
  <c r="DB19" i="8"/>
  <c r="DA19" i="8"/>
  <c r="CZ19" i="8"/>
  <c r="CY19" i="8"/>
  <c r="CX19" i="8"/>
  <c r="DE18" i="8"/>
  <c r="DD18" i="8"/>
  <c r="DC18" i="8"/>
  <c r="DB18" i="8"/>
  <c r="DA18" i="8"/>
  <c r="CZ18" i="8"/>
  <c r="CY18" i="8"/>
  <c r="CX18" i="8"/>
  <c r="DE17" i="8"/>
  <c r="DD17" i="8"/>
  <c r="DC17" i="8"/>
  <c r="DB17" i="8"/>
  <c r="DA17" i="8"/>
  <c r="CZ17" i="8"/>
  <c r="CY17" i="8"/>
  <c r="CX17" i="8"/>
  <c r="DE16" i="8"/>
  <c r="DD16" i="8"/>
  <c r="DC16" i="8"/>
  <c r="DB16" i="8"/>
  <c r="DA16" i="8"/>
  <c r="CZ16" i="8"/>
  <c r="CY16" i="8"/>
  <c r="CX16" i="8"/>
  <c r="DE15" i="8"/>
  <c r="DD15" i="8"/>
  <c r="DC15" i="8"/>
  <c r="DB15" i="8"/>
  <c r="DA15" i="8"/>
  <c r="CZ15" i="8"/>
  <c r="CY15" i="8"/>
  <c r="CX15" i="8"/>
  <c r="DE14" i="8"/>
  <c r="DD14" i="8"/>
  <c r="DC14" i="8"/>
  <c r="DB14" i="8"/>
  <c r="DA14" i="8"/>
  <c r="CZ14" i="8"/>
  <c r="CY14" i="8"/>
  <c r="CX14" i="8"/>
  <c r="DE13" i="8"/>
  <c r="DD13" i="8"/>
  <c r="DC13" i="8"/>
  <c r="DB13" i="8"/>
  <c r="DA13" i="8"/>
  <c r="CZ13" i="8"/>
  <c r="CY13" i="8"/>
  <c r="CX13" i="8"/>
  <c r="DE12" i="8"/>
  <c r="DD12" i="8"/>
  <c r="DC12" i="8"/>
  <c r="DB12" i="8"/>
  <c r="DA12" i="8"/>
  <c r="CZ12" i="8"/>
  <c r="CY12" i="8"/>
  <c r="CX12" i="8"/>
  <c r="DE11" i="8"/>
  <c r="DD11" i="8"/>
  <c r="DC11" i="8"/>
  <c r="DB11" i="8"/>
  <c r="DA11" i="8"/>
  <c r="CZ11" i="8"/>
  <c r="CY11" i="8"/>
  <c r="CX11" i="8"/>
  <c r="DE10" i="8"/>
  <c r="DD10" i="8"/>
  <c r="DC10" i="8"/>
  <c r="DB10" i="8"/>
  <c r="DA10" i="8"/>
  <c r="CZ10" i="8"/>
  <c r="CY10" i="8"/>
  <c r="CX10" i="8"/>
  <c r="DE9" i="8"/>
  <c r="DD9" i="8"/>
  <c r="DC9" i="8"/>
  <c r="DB9" i="8"/>
  <c r="DA9" i="8"/>
  <c r="CZ9" i="8"/>
  <c r="CY9" i="8"/>
  <c r="DE8" i="8"/>
  <c r="DD8" i="8"/>
  <c r="DC8" i="8"/>
  <c r="DB8" i="8"/>
  <c r="DA8" i="8"/>
  <c r="CZ8" i="8"/>
  <c r="CY8" i="8"/>
  <c r="CX8" i="8"/>
  <c r="DE7" i="8"/>
  <c r="DD7" i="8"/>
  <c r="DC7" i="8"/>
  <c r="DB7" i="8"/>
  <c r="DA7" i="8"/>
  <c r="CZ7" i="8"/>
  <c r="CY7" i="8"/>
  <c r="CX7" i="8"/>
  <c r="DE6" i="8"/>
  <c r="DD6" i="8"/>
  <c r="DC6" i="8"/>
  <c r="DB6" i="8"/>
  <c r="DA6" i="8"/>
  <c r="CZ6" i="8"/>
  <c r="CY6" i="8"/>
  <c r="CX6" i="8"/>
  <c r="DE5" i="8"/>
  <c r="DD5" i="8"/>
  <c r="DC5" i="8"/>
  <c r="DB5" i="8"/>
  <c r="DA5" i="8"/>
  <c r="CZ5" i="8"/>
  <c r="CY5" i="8"/>
  <c r="CX5" i="8"/>
  <c r="DE4" i="8"/>
  <c r="DD4" i="8"/>
  <c r="DC4" i="8"/>
  <c r="DB4" i="8"/>
  <c r="DA4" i="8"/>
  <c r="CZ4" i="8"/>
  <c r="CY4" i="8"/>
  <c r="CX4" i="8"/>
  <c r="DE3" i="8"/>
  <c r="DD3" i="8"/>
  <c r="DC3" i="8"/>
  <c r="DB3" i="8"/>
  <c r="DA3" i="8"/>
  <c r="CZ3" i="8"/>
  <c r="CY3" i="8"/>
  <c r="CX3" i="8"/>
  <c r="DF9" i="8"/>
  <c r="DF6" i="8"/>
  <c r="DF7" i="8"/>
  <c r="DF5" i="8"/>
  <c r="DF4" i="8"/>
  <c r="DF499" i="8"/>
  <c r="DF498" i="8"/>
  <c r="DF497" i="8"/>
  <c r="DF496" i="8"/>
  <c r="DF495" i="8"/>
  <c r="DF494" i="8"/>
  <c r="DF493" i="8"/>
  <c r="DF492" i="8"/>
  <c r="DF491" i="8"/>
  <c r="DF490" i="8"/>
  <c r="DF489" i="8"/>
  <c r="DF488" i="8"/>
  <c r="DF487" i="8"/>
  <c r="DF486" i="8"/>
  <c r="DF485" i="8"/>
  <c r="DF484" i="8"/>
  <c r="DF483" i="8"/>
  <c r="DF482" i="8"/>
  <c r="DF481" i="8"/>
  <c r="DF480" i="8"/>
  <c r="DF479" i="8"/>
  <c r="DF478" i="8"/>
  <c r="DF477" i="8"/>
  <c r="DF476" i="8"/>
  <c r="DF475" i="8"/>
  <c r="DF474" i="8"/>
  <c r="DF473" i="8"/>
  <c r="DF472" i="8"/>
  <c r="DF471" i="8"/>
  <c r="DF470" i="8"/>
  <c r="DF469" i="8"/>
  <c r="DF468" i="8"/>
  <c r="DF467" i="8"/>
  <c r="DF466" i="8"/>
  <c r="DF465" i="8"/>
  <c r="DF464" i="8"/>
  <c r="DF463" i="8"/>
  <c r="DF462" i="8"/>
  <c r="DF461" i="8"/>
  <c r="DF460" i="8"/>
  <c r="DF459" i="8"/>
  <c r="DF458" i="8"/>
  <c r="DF457" i="8"/>
  <c r="DF456" i="8"/>
  <c r="DF455" i="8"/>
  <c r="DF454" i="8"/>
  <c r="DF453" i="8"/>
  <c r="DF452" i="8"/>
  <c r="DF451" i="8"/>
  <c r="DF450" i="8"/>
  <c r="DF449" i="8"/>
  <c r="DF448" i="8"/>
  <c r="DF447" i="8"/>
  <c r="DF446" i="8"/>
  <c r="DF445" i="8"/>
  <c r="DF444" i="8"/>
  <c r="DF443" i="8"/>
  <c r="DF442" i="8"/>
  <c r="DF441" i="8"/>
  <c r="DF440" i="8"/>
  <c r="DF439" i="8"/>
  <c r="DF438" i="8"/>
  <c r="DF437" i="8"/>
  <c r="DF436" i="8"/>
  <c r="DF435" i="8"/>
  <c r="DF434" i="8"/>
  <c r="DF433" i="8"/>
  <c r="DF432" i="8"/>
  <c r="DF431" i="8"/>
  <c r="DF430" i="8"/>
  <c r="DF429" i="8"/>
  <c r="DF428" i="8"/>
  <c r="DF427" i="8"/>
  <c r="DF426" i="8"/>
  <c r="DF425" i="8"/>
  <c r="DF424" i="8"/>
  <c r="DF423" i="8"/>
  <c r="DF422" i="8"/>
  <c r="DF421" i="8"/>
  <c r="DF420" i="8"/>
  <c r="DF419" i="8"/>
  <c r="DF418" i="8"/>
  <c r="DF417" i="8"/>
  <c r="DF416" i="8"/>
  <c r="DF415" i="8"/>
  <c r="DF414" i="8"/>
  <c r="DF413" i="8"/>
  <c r="DF412" i="8"/>
  <c r="DF411" i="8"/>
  <c r="DF410" i="8"/>
  <c r="DF409" i="8"/>
  <c r="DF408" i="8"/>
  <c r="DF407" i="8"/>
  <c r="DF406" i="8"/>
  <c r="DF405" i="8"/>
  <c r="DF404" i="8"/>
  <c r="DF403" i="8"/>
  <c r="DF402" i="8"/>
  <c r="DF401" i="8"/>
  <c r="DF400" i="8"/>
  <c r="DF399" i="8"/>
  <c r="DF398" i="8"/>
  <c r="DF397" i="8"/>
  <c r="DF396" i="8"/>
  <c r="DF395" i="8"/>
  <c r="DF394" i="8"/>
  <c r="DF393" i="8"/>
  <c r="DF392" i="8"/>
  <c r="DF391" i="8"/>
  <c r="DF390" i="8"/>
  <c r="DF389" i="8"/>
  <c r="DF388" i="8"/>
  <c r="DF387" i="8"/>
  <c r="DF386" i="8"/>
  <c r="DF385" i="8"/>
  <c r="DF384" i="8"/>
  <c r="DF383" i="8"/>
  <c r="DF382" i="8"/>
  <c r="DF381" i="8"/>
  <c r="DF380" i="8"/>
  <c r="DF379" i="8"/>
  <c r="DF378" i="8"/>
  <c r="DF377" i="8"/>
  <c r="DF376" i="8"/>
  <c r="DF375" i="8"/>
  <c r="DF374" i="8"/>
  <c r="DF373" i="8"/>
  <c r="DF372" i="8"/>
  <c r="DF371" i="8"/>
  <c r="DF370" i="8"/>
  <c r="DF369" i="8"/>
  <c r="DF368" i="8"/>
  <c r="DF367" i="8"/>
  <c r="DF366" i="8"/>
  <c r="DF365" i="8"/>
  <c r="DF364" i="8"/>
  <c r="DF363" i="8"/>
  <c r="DF362" i="8"/>
  <c r="DF361" i="8"/>
  <c r="DF360" i="8"/>
  <c r="DF359" i="8"/>
  <c r="DF358" i="8"/>
  <c r="DF357" i="8"/>
  <c r="DF356" i="8"/>
  <c r="DF355" i="8"/>
  <c r="DF354" i="8"/>
  <c r="DF353" i="8"/>
  <c r="DF352" i="8"/>
  <c r="DF351" i="8"/>
  <c r="DF350" i="8"/>
  <c r="DF349" i="8"/>
  <c r="DF348" i="8"/>
  <c r="DF347" i="8"/>
  <c r="DF346" i="8"/>
  <c r="DF345" i="8"/>
  <c r="DF344" i="8"/>
  <c r="DF343" i="8"/>
  <c r="DF342" i="8"/>
  <c r="DF341" i="8"/>
  <c r="DF340" i="8"/>
  <c r="DF339" i="8"/>
  <c r="DF338" i="8"/>
  <c r="DF337" i="8"/>
  <c r="DF336" i="8"/>
  <c r="DF335" i="8"/>
  <c r="DF334" i="8"/>
  <c r="DF333" i="8"/>
  <c r="DF332" i="8"/>
  <c r="DF331" i="8"/>
  <c r="DF330" i="8"/>
  <c r="DF329" i="8"/>
  <c r="DF328" i="8"/>
  <c r="DF327" i="8"/>
  <c r="DF326" i="8"/>
  <c r="DF325" i="8"/>
  <c r="DF324" i="8"/>
  <c r="DF323" i="8"/>
  <c r="DF322" i="8"/>
  <c r="DF321" i="8"/>
  <c r="DF320" i="8"/>
  <c r="DF319" i="8"/>
  <c r="DF318" i="8"/>
  <c r="DF317" i="8"/>
  <c r="DF316" i="8"/>
  <c r="DF315" i="8"/>
  <c r="DF314" i="8"/>
  <c r="DF313" i="8"/>
  <c r="DF312" i="8"/>
  <c r="DF311" i="8"/>
  <c r="DF310" i="8"/>
  <c r="DF309" i="8"/>
  <c r="DF308" i="8"/>
  <c r="DF307" i="8"/>
  <c r="DF306" i="8"/>
  <c r="DF305" i="8"/>
  <c r="DF304" i="8"/>
  <c r="DF303" i="8"/>
  <c r="DF302" i="8"/>
  <c r="DF301" i="8"/>
  <c r="DF300" i="8"/>
  <c r="DF299" i="8"/>
  <c r="DF298" i="8"/>
  <c r="DF297" i="8"/>
  <c r="DF296" i="8"/>
  <c r="DF295" i="8"/>
  <c r="DF294" i="8"/>
  <c r="DF293" i="8"/>
  <c r="DF292" i="8"/>
  <c r="DF291" i="8"/>
  <c r="DF290" i="8"/>
  <c r="DF289" i="8"/>
  <c r="DF288" i="8"/>
  <c r="DF287" i="8"/>
  <c r="DF286" i="8"/>
  <c r="DF285" i="8"/>
  <c r="DF284" i="8"/>
  <c r="DF283" i="8"/>
  <c r="DF282" i="8"/>
  <c r="DF281" i="8"/>
  <c r="DF280" i="8"/>
  <c r="DF279" i="8"/>
  <c r="DF278" i="8"/>
  <c r="DF277" i="8"/>
  <c r="DF276" i="8"/>
  <c r="DF275" i="8"/>
  <c r="DF274" i="8"/>
  <c r="DF273" i="8"/>
  <c r="DF272" i="8"/>
  <c r="DF271" i="8"/>
  <c r="DF270" i="8"/>
  <c r="DF269" i="8"/>
  <c r="DF268" i="8"/>
  <c r="DF267" i="8"/>
  <c r="DF266" i="8"/>
  <c r="DF265" i="8"/>
  <c r="DF264" i="8"/>
  <c r="DF263" i="8"/>
  <c r="DF262" i="8"/>
  <c r="DF261" i="8"/>
  <c r="DF260" i="8"/>
  <c r="DF259" i="8"/>
  <c r="DF258" i="8"/>
  <c r="DF257" i="8"/>
  <c r="DF256" i="8"/>
  <c r="DF255" i="8"/>
  <c r="DF254" i="8"/>
  <c r="DF253" i="8"/>
  <c r="DF252" i="8"/>
  <c r="DF251" i="8"/>
  <c r="DF250" i="8"/>
  <c r="DF249" i="8"/>
  <c r="DF248" i="8"/>
  <c r="DF247" i="8"/>
  <c r="DF246" i="8"/>
  <c r="DF245" i="8"/>
  <c r="DF244" i="8"/>
  <c r="DF243" i="8"/>
  <c r="DF242" i="8"/>
  <c r="DF241" i="8"/>
  <c r="DF240" i="8"/>
  <c r="DF239" i="8"/>
  <c r="DF238" i="8"/>
  <c r="DF237" i="8"/>
  <c r="DF236" i="8"/>
  <c r="DF235" i="8"/>
  <c r="DF234" i="8"/>
  <c r="DF233" i="8"/>
  <c r="DF232" i="8"/>
  <c r="DF231" i="8"/>
  <c r="DF230" i="8"/>
  <c r="DF229" i="8"/>
  <c r="DF228" i="8"/>
  <c r="DF227" i="8"/>
  <c r="DF226" i="8"/>
  <c r="DF225" i="8"/>
  <c r="DF224" i="8"/>
  <c r="DF223" i="8"/>
  <c r="DF222" i="8"/>
  <c r="DF221" i="8"/>
  <c r="DF220" i="8"/>
  <c r="DF219" i="8"/>
  <c r="DF218" i="8"/>
  <c r="DF217" i="8"/>
  <c r="DF216" i="8"/>
  <c r="DF215" i="8"/>
  <c r="DF214" i="8"/>
  <c r="DF213" i="8"/>
  <c r="DF212" i="8"/>
  <c r="DF211" i="8"/>
  <c r="DF210" i="8"/>
  <c r="DF209" i="8"/>
  <c r="DF208" i="8"/>
  <c r="DF207" i="8"/>
  <c r="DF206" i="8"/>
  <c r="DF205" i="8"/>
  <c r="DF204" i="8"/>
  <c r="DF203" i="8"/>
  <c r="DF202" i="8"/>
  <c r="DF201" i="8"/>
  <c r="DF200" i="8"/>
  <c r="DF199" i="8"/>
  <c r="DF198" i="8"/>
  <c r="DF197" i="8"/>
  <c r="DF196" i="8"/>
  <c r="DF195" i="8"/>
  <c r="DF194" i="8"/>
  <c r="DF193" i="8"/>
  <c r="DF192" i="8"/>
  <c r="DF191" i="8"/>
  <c r="DF190" i="8"/>
  <c r="DF189" i="8"/>
  <c r="DF188" i="8"/>
  <c r="DF187" i="8"/>
  <c r="DF186" i="8"/>
  <c r="DF185" i="8"/>
  <c r="DF184" i="8"/>
  <c r="DF183" i="8"/>
  <c r="DF182" i="8"/>
  <c r="DF181" i="8"/>
  <c r="DF180" i="8"/>
  <c r="DF179" i="8"/>
  <c r="DF178" i="8"/>
  <c r="DF177" i="8"/>
  <c r="DF176" i="8"/>
  <c r="DF175" i="8"/>
  <c r="DF174" i="8"/>
  <c r="DF173" i="8"/>
  <c r="DF172" i="8"/>
  <c r="DF171" i="8"/>
  <c r="DF170" i="8"/>
  <c r="DF169" i="8"/>
  <c r="DF168" i="8"/>
  <c r="DF167" i="8"/>
  <c r="DF166" i="8"/>
  <c r="DF165" i="8"/>
  <c r="DF164" i="8"/>
  <c r="DF163" i="8"/>
  <c r="DF162" i="8"/>
  <c r="DF161" i="8"/>
  <c r="DF160" i="8"/>
  <c r="DF159" i="8"/>
  <c r="DF158" i="8"/>
  <c r="DF157" i="8"/>
  <c r="DF156" i="8"/>
  <c r="DF155" i="8"/>
  <c r="DF154" i="8"/>
  <c r="DF153" i="8"/>
  <c r="DF152" i="8"/>
  <c r="DF151" i="8"/>
  <c r="DF150" i="8"/>
  <c r="DF149" i="8"/>
  <c r="DF148" i="8"/>
  <c r="DF147" i="8"/>
  <c r="DF146" i="8"/>
  <c r="DF145" i="8"/>
  <c r="DF144" i="8"/>
  <c r="DF143" i="8"/>
  <c r="DF142" i="8"/>
  <c r="DF141" i="8"/>
  <c r="DF140" i="8"/>
  <c r="DF139" i="8"/>
  <c r="DF138" i="8"/>
  <c r="DF137" i="8"/>
  <c r="DF136" i="8"/>
  <c r="DF135" i="8"/>
  <c r="DF134" i="8"/>
  <c r="DF133" i="8"/>
  <c r="DF132" i="8"/>
  <c r="DF131" i="8"/>
  <c r="DF130" i="8"/>
  <c r="DF129" i="8"/>
  <c r="DF128" i="8"/>
  <c r="DF127" i="8"/>
  <c r="DF126" i="8"/>
  <c r="DF125" i="8"/>
  <c r="DF124" i="8"/>
  <c r="DF123" i="8"/>
  <c r="DF122" i="8"/>
  <c r="DF121" i="8"/>
  <c r="DF120" i="8"/>
  <c r="DF119" i="8"/>
  <c r="DF118" i="8"/>
  <c r="DF117" i="8"/>
  <c r="DF116" i="8"/>
  <c r="DF115" i="8"/>
  <c r="DF114" i="8"/>
  <c r="DF113" i="8"/>
  <c r="DF112" i="8"/>
  <c r="DF111" i="8"/>
  <c r="DF110" i="8"/>
  <c r="DF109" i="8"/>
  <c r="DF108" i="8"/>
  <c r="DF107" i="8"/>
  <c r="DF106" i="8"/>
  <c r="DF105" i="8"/>
  <c r="DF104" i="8"/>
  <c r="DF103" i="8"/>
  <c r="DF102" i="8"/>
  <c r="DF101" i="8"/>
  <c r="DF100" i="8"/>
  <c r="DF99" i="8"/>
  <c r="DF98" i="8"/>
  <c r="DF97" i="8"/>
  <c r="DF96" i="8"/>
  <c r="DF95" i="8"/>
  <c r="DF94" i="8"/>
  <c r="DF93" i="8"/>
  <c r="DF92" i="8"/>
  <c r="DF91" i="8"/>
  <c r="DF90" i="8"/>
  <c r="DF89" i="8"/>
  <c r="DF88" i="8"/>
  <c r="DF87" i="8"/>
  <c r="DF86" i="8"/>
  <c r="DF85" i="8"/>
  <c r="DF84" i="8"/>
  <c r="DF83" i="8"/>
  <c r="DF82" i="8"/>
  <c r="DF81" i="8"/>
  <c r="DF80" i="8"/>
  <c r="DF79" i="8"/>
  <c r="DF78" i="8"/>
  <c r="DF77" i="8"/>
  <c r="DF76" i="8"/>
  <c r="DF75" i="8"/>
  <c r="DF74" i="8"/>
  <c r="DF73" i="8"/>
  <c r="DF72" i="8"/>
  <c r="DF71" i="8"/>
  <c r="DF70" i="8"/>
  <c r="DF69" i="8"/>
  <c r="DF68" i="8"/>
  <c r="DF67" i="8"/>
  <c r="DF66" i="8"/>
  <c r="DF65" i="8"/>
  <c r="DF64" i="8"/>
  <c r="DF63" i="8"/>
  <c r="DF62" i="8"/>
  <c r="DF61" i="8"/>
  <c r="DF60" i="8"/>
  <c r="DF59" i="8"/>
  <c r="DF58" i="8"/>
  <c r="DF57" i="8"/>
  <c r="DF56" i="8"/>
  <c r="DF55" i="8"/>
  <c r="DF54" i="8"/>
  <c r="DF53" i="8"/>
  <c r="DF52" i="8"/>
  <c r="DF51" i="8"/>
  <c r="DF50" i="8"/>
  <c r="DF49" i="8"/>
  <c r="DF48" i="8"/>
  <c r="DF47" i="8"/>
  <c r="DF46" i="8"/>
  <c r="DF45" i="8"/>
  <c r="DF44" i="8"/>
  <c r="DF43" i="8"/>
  <c r="DF42" i="8"/>
  <c r="DF41" i="8"/>
  <c r="DF40" i="8"/>
  <c r="DF39" i="8"/>
  <c r="DF38" i="8"/>
  <c r="DF37" i="8"/>
  <c r="DF36" i="8"/>
  <c r="DF35" i="8"/>
  <c r="DF34" i="8"/>
  <c r="DF33" i="8"/>
  <c r="DF32" i="8"/>
  <c r="DF31" i="8"/>
  <c r="DF30" i="8"/>
  <c r="DF29" i="8"/>
  <c r="DF28" i="8"/>
  <c r="DF27" i="8"/>
  <c r="DF26" i="8"/>
  <c r="DF25" i="8"/>
  <c r="DF24" i="8"/>
  <c r="DF23" i="8"/>
  <c r="DF22" i="8"/>
  <c r="DF21" i="8"/>
  <c r="DF20" i="8"/>
  <c r="DF19" i="8"/>
  <c r="DF18" i="8"/>
  <c r="DF17" i="8"/>
  <c r="DF16" i="8"/>
  <c r="DF15" i="8"/>
  <c r="DF14" i="8"/>
  <c r="DF13" i="8"/>
  <c r="DF12" i="8"/>
  <c r="DF11" i="8"/>
  <c r="DF10" i="8"/>
  <c r="DF8" i="8"/>
  <c r="DF3" i="8"/>
  <c r="DL13" i="8" l="1"/>
  <c r="DL7" i="8"/>
  <c r="DM7" i="8" s="1"/>
  <c r="DN7" i="8" s="1"/>
  <c r="DO7" i="8" s="1"/>
  <c r="DP7" i="8" s="1"/>
  <c r="DQ7" i="8" s="1"/>
  <c r="DR7" i="8" s="1"/>
  <c r="DL11" i="8"/>
  <c r="DM11" i="8" s="1"/>
  <c r="DN11" i="8" s="1"/>
  <c r="K8" i="9" a="1"/>
  <c r="K8" i="9" s="1"/>
  <c r="DP32" i="8" a="1"/>
  <c r="DP32" i="8" s="1"/>
  <c r="L8" i="9" a="1"/>
  <c r="L8" i="9" s="1"/>
  <c r="DM32" i="8" a="1"/>
  <c r="DM32" i="8" s="1"/>
  <c r="DQ32" i="8" a="1"/>
  <c r="DQ32" i="8" s="1"/>
  <c r="DL32" i="8" a="1"/>
  <c r="DL32" i="8" s="1"/>
  <c r="I8" i="9" a="1"/>
  <c r="I8" i="9" s="1"/>
  <c r="M8" i="9" a="1"/>
  <c r="M8" i="9" s="1"/>
  <c r="H8" i="9" a="1"/>
  <c r="H8" i="9" s="1"/>
  <c r="DN32" i="8" a="1"/>
  <c r="DN32" i="8" s="1"/>
  <c r="J8" i="9" a="1"/>
  <c r="J8" i="9" s="1"/>
  <c r="DO32" i="8" a="1"/>
  <c r="DO32" i="8" s="1"/>
  <c r="I12" i="9" a="1"/>
  <c r="I12" i="9" s="1"/>
  <c r="H12" i="9" a="1"/>
  <c r="H12" i="9" s="1"/>
  <c r="DM36" i="8" a="1"/>
  <c r="DM36" i="8" s="1"/>
  <c r="DL36" i="8" a="1"/>
  <c r="DL36" i="8" s="1"/>
  <c r="J7" i="9" a="1"/>
  <c r="J7" i="9" s="1"/>
  <c r="N7" i="9" a="1"/>
  <c r="N7" i="9" s="1"/>
  <c r="DO31" i="8" a="1"/>
  <c r="DO31" i="8" s="1"/>
  <c r="K7" i="9" a="1"/>
  <c r="K7" i="9" s="1"/>
  <c r="H7" i="9" a="1"/>
  <c r="H7" i="9" s="1"/>
  <c r="DP31" i="8" a="1"/>
  <c r="DP31" i="8" s="1"/>
  <c r="DR31" i="8" a="1"/>
  <c r="DR31" i="8" s="1"/>
  <c r="L7" i="9" a="1"/>
  <c r="L7" i="9" s="1"/>
  <c r="DM31" i="8" a="1"/>
  <c r="DM31" i="8" s="1"/>
  <c r="DQ31" i="8" a="1"/>
  <c r="DQ31" i="8" s="1"/>
  <c r="DQ40" i="8" s="1"/>
  <c r="I7" i="9" a="1"/>
  <c r="I7" i="9" s="1"/>
  <c r="M7" i="9" a="1"/>
  <c r="M7" i="9" s="1"/>
  <c r="DN31" i="8" a="1"/>
  <c r="DN31" i="8" s="1"/>
  <c r="DN40" i="8" s="1"/>
  <c r="DL8" i="8"/>
  <c r="DM8" i="8" s="1"/>
  <c r="DN8" i="8" s="1"/>
  <c r="DO8" i="8" s="1"/>
  <c r="DP8" i="8" s="1"/>
  <c r="DQ8" i="8" s="1"/>
  <c r="DL18" i="8" a="1"/>
  <c r="DL18" i="8" s="1"/>
  <c r="DM22" i="8" a="1"/>
  <c r="DM22" i="8" s="1"/>
  <c r="DN22" i="8" a="1"/>
  <c r="DN22" i="8" s="1"/>
  <c r="DO22" i="8" a="1"/>
  <c r="DO22" i="8" s="1"/>
  <c r="DL9" i="8"/>
  <c r="DM9" i="8" s="1"/>
  <c r="DN9" i="8" s="1"/>
  <c r="DO9" i="8" s="1"/>
  <c r="DP9" i="8" s="1"/>
  <c r="DL6" i="8"/>
  <c r="DM6" i="8" s="1"/>
  <c r="DN6" i="8" s="1"/>
  <c r="DO6" i="8" s="1"/>
  <c r="DP6" i="8" s="1"/>
  <c r="DQ6" i="8" s="1"/>
  <c r="DR6" i="8" s="1"/>
  <c r="DS6" i="8" s="1"/>
  <c r="K9" i="9" a="1"/>
  <c r="K9" i="9" s="1"/>
  <c r="DP33" i="8" a="1"/>
  <c r="DP33" i="8" s="1"/>
  <c r="L9" i="9" a="1"/>
  <c r="L9" i="9" s="1"/>
  <c r="DM33" i="8" a="1"/>
  <c r="DM33" i="8" s="1"/>
  <c r="I9" i="9" a="1"/>
  <c r="I9" i="9" s="1"/>
  <c r="DN33" i="8" a="1"/>
  <c r="DN33" i="8" s="1"/>
  <c r="DL33" i="8" a="1"/>
  <c r="DL33" i="8" s="1"/>
  <c r="J9" i="9" a="1"/>
  <c r="J9" i="9" s="1"/>
  <c r="H9" i="9" a="1"/>
  <c r="H9" i="9" s="1"/>
  <c r="DO33" i="8" a="1"/>
  <c r="DO33" i="8" s="1"/>
  <c r="DL37" i="8" a="1"/>
  <c r="DL37" i="8" s="1"/>
  <c r="H13" i="9" a="1"/>
  <c r="H13" i="9" s="1"/>
  <c r="DM35" i="8" a="1"/>
  <c r="DM35" i="8" s="1"/>
  <c r="DM44" i="8" s="1"/>
  <c r="I11" i="9" a="1"/>
  <c r="I11" i="9" s="1"/>
  <c r="DN35" i="8" a="1"/>
  <c r="DN35" i="8" s="1"/>
  <c r="J11" i="9" a="1"/>
  <c r="J11" i="9" s="1"/>
  <c r="H11" i="9" a="1"/>
  <c r="H11" i="9" s="1"/>
  <c r="DL12" i="8"/>
  <c r="DM12" i="8" s="1"/>
  <c r="J6" i="9" a="1"/>
  <c r="J6" i="9" s="1"/>
  <c r="O6" i="9" a="1"/>
  <c r="O6" i="9" s="1"/>
  <c r="DP30" i="8" a="1"/>
  <c r="DP30" i="8" s="1"/>
  <c r="DS30" i="8" a="1"/>
  <c r="DS30" i="8" s="1"/>
  <c r="L6" i="9" a="1"/>
  <c r="L6" i="9" s="1"/>
  <c r="H6" i="9" a="1"/>
  <c r="H6" i="9" s="1"/>
  <c r="DM30" i="8" a="1"/>
  <c r="DM30" i="8" s="1"/>
  <c r="DN30" i="8" a="1"/>
  <c r="DN30" i="8" s="1"/>
  <c r="DR30" i="8" a="1"/>
  <c r="DR30" i="8" s="1"/>
  <c r="K6" i="9" a="1"/>
  <c r="K6" i="9" s="1"/>
  <c r="M6" i="9" a="1"/>
  <c r="M6" i="9" s="1"/>
  <c r="DL30" i="8" a="1"/>
  <c r="DL30" i="8" s="1"/>
  <c r="DQ30" i="8" a="1"/>
  <c r="DQ30" i="8" s="1"/>
  <c r="I6" i="9" a="1"/>
  <c r="I6" i="9" s="1"/>
  <c r="N6" i="9" a="1"/>
  <c r="N6" i="9" s="1"/>
  <c r="DO30" i="8" a="1"/>
  <c r="DO30" i="8" s="1"/>
  <c r="DO39" i="8" s="1"/>
  <c r="J10" i="9" a="1"/>
  <c r="J10" i="9" s="1"/>
  <c r="DO34" i="8" a="1"/>
  <c r="DO34" i="8" s="1"/>
  <c r="DL34" i="8" a="1"/>
  <c r="DL34" i="8" s="1"/>
  <c r="K10" i="9" a="1"/>
  <c r="K10" i="9" s="1"/>
  <c r="H10" i="9" a="1"/>
  <c r="H10" i="9" s="1"/>
  <c r="DM34" i="8" a="1"/>
  <c r="DM34" i="8" s="1"/>
  <c r="I10" i="9" a="1"/>
  <c r="I10" i="9" s="1"/>
  <c r="DN34" i="8" a="1"/>
  <c r="DN34" i="8" s="1"/>
  <c r="DL10" i="8"/>
  <c r="DM10" i="8" s="1"/>
  <c r="DN10" i="8" s="1"/>
  <c r="DO10" i="8" s="1"/>
  <c r="DL19" i="8" a="1"/>
  <c r="DL19" i="8" s="1"/>
  <c r="DN23" i="8" a="1"/>
  <c r="DN23" i="8" s="1"/>
  <c r="DQ20" i="8" a="1"/>
  <c r="DQ20" i="8" s="1"/>
  <c r="DL23" i="8" a="1"/>
  <c r="DL23" i="8" s="1"/>
  <c r="DS18" i="8" a="1"/>
  <c r="DS18" i="8" s="1"/>
  <c r="DO18" i="8" a="1"/>
  <c r="DO18" i="8" s="1"/>
  <c r="DR19" i="8" a="1"/>
  <c r="DR19" i="8" s="1"/>
  <c r="DN19" i="8" a="1"/>
  <c r="DN19" i="8" s="1"/>
  <c r="DP20" i="8" a="1"/>
  <c r="DP20" i="8" s="1"/>
  <c r="DL21" i="8" a="1"/>
  <c r="DL21" i="8" s="1"/>
  <c r="DN21" i="8" a="1"/>
  <c r="DN21" i="8" s="1"/>
  <c r="DL24" i="8" a="1"/>
  <c r="DL24" i="8" s="1"/>
  <c r="DM24" i="8" a="1"/>
  <c r="DM24" i="8" s="1"/>
  <c r="DP18" i="8" a="1"/>
  <c r="DP18" i="8" s="1"/>
  <c r="DM23" i="8" a="1"/>
  <c r="DM23" i="8" s="1"/>
  <c r="DR18" i="8" a="1"/>
  <c r="DR18" i="8" s="1"/>
  <c r="DN18" i="8" a="1"/>
  <c r="DN18" i="8" s="1"/>
  <c r="DQ19" i="8" a="1"/>
  <c r="DQ19" i="8" s="1"/>
  <c r="DM19" i="8" a="1"/>
  <c r="DM19" i="8" s="1"/>
  <c r="DO20" i="8" a="1"/>
  <c r="DO20" i="8" s="1"/>
  <c r="DP21" i="8" a="1"/>
  <c r="DP21" i="8" s="1"/>
  <c r="DM21" i="8" a="1"/>
  <c r="DM21" i="8" s="1"/>
  <c r="DL25" i="8" a="1"/>
  <c r="DL25" i="8" s="1"/>
  <c r="DO19" i="8" a="1"/>
  <c r="DO19" i="8" s="1"/>
  <c r="DM20" i="8" a="1"/>
  <c r="DM20" i="8" s="1"/>
  <c r="DQ18" i="8" a="1"/>
  <c r="DQ18" i="8" s="1"/>
  <c r="DM18" i="8" a="1"/>
  <c r="DM18" i="8" s="1"/>
  <c r="DP19" i="8" a="1"/>
  <c r="DP19" i="8" s="1"/>
  <c r="DL20" i="8" a="1"/>
  <c r="DL20" i="8" s="1"/>
  <c r="DN20" i="8" a="1"/>
  <c r="DN20" i="8" s="1"/>
  <c r="DO21" i="8" a="1"/>
  <c r="DO21" i="8" s="1"/>
  <c r="DL22" i="8" a="1"/>
  <c r="DL22" i="8" s="1"/>
  <c r="DM42" i="8" l="1"/>
  <c r="DO41" i="8"/>
  <c r="DM41" i="8"/>
  <c r="N17" i="9" a="1"/>
  <c r="N17" i="9" s="1"/>
  <c r="M17" i="9" a="1"/>
  <c r="M17" i="9" s="1"/>
  <c r="DM43" i="8"/>
  <c r="DQ39" i="8"/>
  <c r="DN44" i="8"/>
  <c r="DO40" i="8"/>
  <c r="DN39" i="8"/>
  <c r="DP42" i="8"/>
  <c r="O17" i="9"/>
  <c r="I17" i="9" a="1"/>
  <c r="I17" i="9" s="1"/>
  <c r="L17" i="9" a="1"/>
  <c r="L17" i="9" s="1"/>
  <c r="K17" i="9" a="1"/>
  <c r="K17" i="9" s="1"/>
  <c r="J17" i="9" a="1"/>
  <c r="J17" i="9" s="1"/>
  <c r="DN43" i="8"/>
  <c r="DQ41" i="8"/>
  <c r="DM45" i="8"/>
  <c r="DS39" i="8"/>
  <c r="DS47" i="8" s="1"/>
  <c r="DN42" i="8"/>
  <c r="DP40" i="8"/>
  <c r="DN41" i="8"/>
  <c r="DO43" i="8"/>
  <c r="DR39" i="8"/>
  <c r="DR40" i="8"/>
  <c r="DO42" i="8"/>
  <c r="DM39" i="8"/>
  <c r="DP39" i="8"/>
  <c r="DM40" i="8"/>
  <c r="DP41" i="8"/>
  <c r="DO47" i="8" l="1"/>
  <c r="DM47" i="8"/>
  <c r="DN47" i="8"/>
  <c r="DQ47" i="8"/>
  <c r="DP47" i="8"/>
  <c r="DR47"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<sst xmlns="http://schemas.openxmlformats.org/spreadsheetml/2006/main" count="3330" uniqueCount="594">
  <si>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</si>
  <si>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</si>
  <si>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</si>
  <si>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</si>
  <si>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</si>
  <si>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</si>
  <si>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</si>
  <si>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</si>
  <si>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</si>
  <si>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</si>
  <si>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</si>
  <si>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</si>
  <si>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</si>
  <si>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</si>
  <si>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</si>
  <si>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</si>
  <si>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</si>
  <si>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</si>
  <si>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</si>
  <si>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</si>
  <si>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</si>
  <si>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</si>
  <si>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</si>
  <si>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</si>
  <si>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</si>
  <si>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</si>
  <si>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</si>
  <si>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</si>
  <si>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</si>
  <si>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</si>
  <si>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</si>
  <si>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</si>
  <si>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</si>
  <si>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</si>
  <si>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</si>
  <si>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</si>
  <si>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</si>
  <si>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</si>
  <si>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</si>
  <si>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</si>
  <si>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</si>
  <si>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</si>
  <si>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</si>
  <si>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</si>
  <si>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</si>
  <si>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</si>
  <si>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</si>
  <si>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</si>
  <si>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</si>
  <si>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</si>
  <si>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</si>
  <si>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</si>
  <si>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</si>
  <si>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</si>
  <si>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</si>
  <si>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</si>
  <si>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</si>
  <si>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</si>
  <si>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</si>
  <si>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</si>
  <si>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</si>
  <si>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</si>
  <si>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</si>
  <si>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</si>
  <si>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</si>
  <si>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</si>
  <si>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</si>
  <si>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</si>
  <si>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</si>
  <si>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</si>
  <si>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</si>
  <si>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</si>
  <si>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</si>
  <si>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</si>
  <si>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</si>
  <si>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</si>
  <si>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</si>
  <si>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</si>
  <si>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</si>
  <si>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</si>
  <si>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</si>
  <si>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</si>
  <si>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</si>
  <si>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</si>
  <si>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</si>
  <si>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</si>
  <si>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</si>
  <si>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</si>
  <si>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</si>
  <si>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</si>
  <si>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</si>
  <si>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</si>
  <si>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</si>
  <si>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</si>
  <si>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</si>
  <si>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</si>
  <si>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</si>
  <si>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</si>
  <si>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</si>
  <si>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</si>
  <si>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</si>
  <si>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</si>
  <si>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</si>
  <si>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</si>
  <si>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</si>
  <si>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</si>
  <si>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</si>
  <si>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</si>
  <si>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</si>
  <si>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</si>
  <si>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</si>
  <si>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</si>
  <si>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</si>
  <si>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</si>
  <si>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</si>
  <si>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</si>
  <si>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</si>
  <si>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</si>
  <si>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</si>
  <si>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</si>
  <si>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</si>
  <si>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</si>
  <si>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</si>
  <si>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</si>
  <si>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</si>
  <si>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</si>
  <si>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</si>
  <si>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</si>
  <si>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</si>
  <si>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</si>
  <si>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</si>
  <si>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</si>
  <si>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</si>
  <si>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</si>
  <si>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</si>
  <si>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</si>
  <si>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</si>
  <si>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</si>
  <si>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</si>
  <si>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</si>
  <si>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</si>
  <si>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</si>
  <si>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</si>
  <si>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</si>
  <si>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</si>
  <si>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</si>
  <si>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</si>
  <si>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</si>
  <si>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</si>
  <si>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</si>
  <si>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</si>
  <si>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</si>
  <si>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</si>
  <si>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</si>
  <si>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</si>
  <si>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</si>
  <si>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</si>
  <si>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</si>
  <si>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</si>
  <si>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</si>
  <si>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</si>
  <si>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</si>
  <si>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</si>
  <si>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</si>
  <si>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</si>
  <si>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</si>
  <si>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</si>
  <si>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</si>
  <si>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</si>
  <si>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</si>
  <si>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</si>
  <si>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</si>
  <si>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</si>
  <si>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</si>
  <si>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</si>
  <si>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</si>
  <si>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</si>
  <si>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</si>
  <si>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</si>
  <si>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</si>
  <si>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</si>
  <si>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</si>
  <si>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</si>
  <si>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</si>
  <si>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</si>
  <si>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</si>
  <si>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</si>
  <si>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</si>
  <si>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</si>
  <si>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</si>
  <si>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</si>
  <si>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</si>
  <si>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</si>
  <si>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</si>
  <si>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</si>
  <si>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</si>
  <si>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</si>
  <si>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</si>
  <si>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</si>
  <si>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</si>
  <si>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</si>
  <si>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</si>
  <si>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</si>
  <si>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</si>
  <si>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</si>
  <si>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</si>
  <si>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</si>
  <si>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</si>
  <si>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</si>
  <si>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</si>
  <si>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</si>
  <si>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</si>
  <si>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</si>
  <si>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</si>
  <si>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</si>
  <si>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</si>
  <si>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</si>
  <si>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</si>
  <si>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</si>
  <si>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</si>
  <si>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</si>
  <si>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</si>
  <si>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</si>
  <si>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</si>
  <si>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</si>
  <si>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</si>
  <si>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</si>
  <si>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</si>
  <si>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</si>
  <si>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</si>
  <si>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</si>
  <si>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</si>
  <si>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</si>
  <si>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</si>
  <si>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</si>
  <si>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</si>
  <si>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</si>
  <si>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</si>
  <si>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</si>
  <si>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</si>
  <si>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</si>
  <si>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</si>
  <si>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</si>
  <si>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</si>
  <si>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</si>
  <si>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</si>
  <si>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</si>
  <si>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</si>
  <si>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</si>
  <si>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</si>
  <si>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</si>
  <si>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</si>
  <si>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</si>
  <si>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</si>
  <si>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</si>
  <si>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</si>
  <si>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</si>
  <si>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</si>
  <si>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</si>
  <si>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</si>
  <si>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</si>
  <si>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</si>
  <si>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</si>
  <si>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</si>
  <si>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</si>
  <si>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</si>
  <si>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</si>
  <si>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</si>
  <si>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</si>
  <si>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</si>
  <si>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</si>
  <si>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</si>
  <si>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</si>
  <si>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</si>
  <si>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</si>
  <si>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</si>
  <si>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</si>
  <si>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</si>
  <si>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</si>
  <si>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</si>
  <si>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</si>
  <si>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</si>
  <si>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</si>
  <si>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</si>
  <si>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</si>
  <si>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</si>
  <si>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</si>
  <si>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</si>
  <si>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</si>
  <si>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</si>
  <si>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</si>
  <si>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</si>
  <si>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</si>
  <si>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</si>
  <si>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</si>
  <si>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</si>
  <si>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</si>
  <si>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</si>
  <si>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</si>
  <si>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</si>
  <si>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</si>
  <si>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</si>
  <si>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</si>
  <si>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</si>
  <si>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</si>
  <si>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</si>
  <si>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</si>
  <si>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</si>
  <si>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</si>
  <si>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</si>
  <si>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</si>
  <si>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</si>
  <si>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</si>
  <si>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</si>
  <si>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</si>
  <si>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</si>
  <si>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</si>
  <si>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</si>
  <si>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</si>
  <si>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</si>
  <si>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</si>
  <si>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</si>
  <si>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</si>
  <si>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</si>
  <si>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</si>
  <si>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</si>
  <si>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</si>
  <si>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</si>
  <si>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</si>
  <si>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</si>
  <si>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</si>
  <si>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</si>
  <si>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</si>
  <si>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</si>
  <si>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</si>
  <si>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</si>
  <si>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</si>
  <si>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</si>
  <si>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</si>
  <si>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</si>
  <si>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</si>
  <si>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</si>
  <si>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</si>
  <si>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</si>
  <si>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</si>
  <si>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</si>
  <si>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</si>
  <si>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</si>
  <si>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</si>
  <si>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</si>
  <si>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</si>
  <si>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</si>
  <si>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</si>
  <si>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</si>
  <si>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</si>
  <si>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</si>
  <si>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</si>
  <si>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</si>
  <si>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</si>
  <si>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</si>
  <si>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</si>
  <si>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</si>
  <si>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</si>
  <si>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</si>
  <si>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</si>
  <si>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</si>
  <si>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</si>
  <si>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</si>
  <si>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</si>
  <si>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</si>
  <si>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</si>
  <si>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</si>
  <si>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</si>
  <si>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</si>
  <si>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</si>
  <si>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</si>
  <si>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</si>
  <si>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</si>
  <si>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</si>
  <si>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</si>
  <si>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</si>
  <si>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</si>
  <si>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</si>
  <si>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</si>
  <si>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</si>
  <si>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</si>
  <si>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</si>
  <si>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</si>
  <si>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</si>
  <si>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</si>
  <si>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</si>
  <si>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</si>
  <si>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</si>
  <si>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</si>
  <si>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</si>
  <si>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</si>
  <si>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</si>
  <si>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</si>
  <si>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</si>
  <si>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</si>
  <si>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</si>
  <si>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</si>
  <si>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</si>
  <si>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</si>
  <si>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</si>
  <si>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</si>
  <si>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</si>
  <si>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</si>
  <si>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</si>
  <si>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</si>
  <si>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</si>
  <si>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</si>
  <si>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</si>
  <si>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</si>
  <si>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</si>
  <si>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</si>
  <si>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</si>
  <si>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</si>
  <si>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</si>
  <si>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</si>
  <si>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</si>
  <si>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</si>
  <si>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</si>
  <si>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</si>
  <si>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</si>
  <si>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</si>
  <si>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</si>
  <si>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</si>
  <si>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</si>
  <si>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</si>
  <si>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</si>
  <si>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</si>
  <si>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</si>
  <si>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</si>
  <si>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</si>
  <si>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</si>
  <si>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</si>
  <si>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</si>
  <si>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</si>
  <si>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</si>
  <si>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</si>
  <si>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</si>
  <si>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</si>
  <si>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</si>
  <si>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</si>
  <si>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</si>
  <si>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</si>
  <si>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</si>
  <si>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</si>
  <si>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</si>
  <si>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</si>
  <si>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</si>
  <si>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</si>
  <si>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</si>
  <si>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</si>
  <si>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</si>
  <si>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</si>
  <si>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</si>
  <si>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</si>
  <si>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</si>
  <si>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</si>
  <si>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</si>
  <si>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</si>
  <si>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</si>
  <si>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</si>
  <si>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</si>
  <si>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</si>
  <si>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</si>
  <si>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</si>
  <si>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</si>
  <si>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</si>
  <si>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</si>
  <si>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</si>
  <si>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</si>
  <si>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</si>
  <si>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</si>
  <si>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</si>
  <si>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</si>
  <si>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</si>
  <si>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</si>
  <si>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</si>
  <si>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</si>
  <si>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</si>
  <si>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</si>
  <si>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</si>
  <si>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</si>
  <si>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</si>
  <si>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</si>
  <si>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</si>
  <si>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</si>
  <si>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</si>
  <si>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</si>
  <si>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</si>
  <si>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</si>
  <si>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</si>
  <si>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</si>
  <si>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</si>
  <si>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</si>
  <si>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</si>
  <si>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</si>
  <si>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</si>
  <si>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</si>
  <si>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</si>
  <si>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</si>
  <si>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</si>
  <si>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</si>
  <si>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</si>
  <si>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</si>
  <si>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</si>
  <si>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</si>
  <si>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</si>
  <si>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</si>
  <si>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</si>
  <si>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</si>
  <si>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</si>
  <si>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</si>
  <si>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</si>
  <si>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</si>
  <si>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</si>
  <si>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</si>
  <si>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</si>
  <si>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</si>
  <si>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</si>
  <si>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</si>
  <si>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</si>
  <si>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</si>
  <si>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</si>
  <si>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</si>
  <si>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</si>
  <si>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</si>
  <si>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</si>
  <si>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</si>
  <si>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</si>
  <si>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</si>
  <si>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</si>
  <si>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</si>
  <si>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</si>
  <si>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</si>
  <si>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</si>
  <si>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</si>
  <si>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</si>
  <si>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</si>
  <si>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</si>
  <si>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</si>
  <si>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</si>
  <si>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</si>
  <si>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</si>
  <si>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</si>
  <si>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</si>
  <si>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</si>
  <si>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</si>
  <si>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</si>
  <si>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</si>
  <si>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</si>
  <si>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</si>
  <si>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</si>
  <si>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</si>
  <si>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</si>
  <si>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</si>
  <si>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</si>
  <si>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</si>
  <si>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</si>
  <si>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</si>
  <si>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</si>
  <si>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</si>
  <si>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</si>
  <si>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</si>
  <si>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</si>
  <si>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</si>
  <si>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</si>
  <si>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</si>
  <si>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</si>
  <si>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</si>
  <si>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</si>
  <si>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</si>
  <si>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</si>
  <si>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</si>
  <si>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</si>
  <si>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[0,12)</t>
  </si>
  <si>
    <t>[12,24)</t>
  </si>
  <si>
    <t>[24,36)</t>
  </si>
  <si>
    <t>[36,48)</t>
  </si>
  <si>
    <t>[48,60)</t>
  </si>
  <si>
    <t>[60,72)</t>
  </si>
  <si>
    <t>[72,84)</t>
  </si>
  <si>
    <t>[84,96)</t>
  </si>
  <si>
    <t>Developmental period</t>
  </si>
  <si>
    <t>Accident</t>
  </si>
  <si>
    <t>Year</t>
  </si>
  <si>
    <t>Claim type</t>
  </si>
  <si>
    <t>Input(s)</t>
  </si>
  <si>
    <t>Accident 
year</t>
  </si>
  <si>
    <t>LDF</t>
  </si>
  <si>
    <t>Average Loss Development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</si>
</sst>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24"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s>
  <fills count="48">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s>
  <borders count="18">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49">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0" fillId="0" borderId="0" xfId="0" applyAlignment="1">
      <alignment horizontal="left"/>
    </xf>
    <xf numFmtId="0" fontId="0" fillId="42" borderId="0" xfId="0" applyFill="1"/>
    <xf numFmtId="0" fontId="22" fillId="43" borderId="8" xfId="0" applyFont="1" applyFill="1" applyBorder="1"/>
    <xf numFmtId="0" fontId="0" fillId="44" borderId="9" xfId="0" applyFill="1" applyBorder="1" applyAlignment="1">
      <alignment horizontal="right"/>
    </xf>
    <xf numFmtId="16" fontId="22" fillId="43" borderId="0" xfId="0" applyNumberFormat="1" applyFont="1" applyFill="1"/>
    <xf numFmtId="0" fontId="22" fillId="43" borderId="0" xfId="0" applyFont="1" applyFill="1"/>
    <xf numFmtId="0" fontId="0" fillId="0" borderId="10" xfId="0" applyBorder="1"/>
    <xf numFmtId="0" fontId="0" fillId="0" borderId="11" xfId="0" applyBorder="1"/>
    <xf numFmtId="0" fontId="0" fillId="0" borderId="13" xfId="0" applyBorder="1"/>
    <xf numFmtId="0" fontId="22" fillId="43" borderId="14" xfId="0" applyFont="1" applyFill="1" applyBorder="1"/>
    <xf numFmtId="0" fontId="0" fillId="0" borderId="16" xfId="0" applyBorder="1"/>
    <xf numFmtId="0" fontId="0" fillId="0" borderId="17" xfId="0" applyBorder="1"/>
    <xf numFmtId="0" fontId="22" fillId="45" borderId="0" xfId="0" applyFont="1" applyFill="1"/>
    <xf numFmtId="0" fontId="0" fillId="46" borderId="0" xfId="0" applyFill="1"/>
    <xf numFmtId="0" fontId="0" fillId="46" borderId="14" xfId="0" applyFill="1" applyBorder="1"/>
    <xf numFmtId="0" fontId="0" fillId="0" borderId="14" xfId="0" applyBorder="1"/>
    <xf numFmtId="0" fontId="0" fillId="0" borderId="15" xfId="0" applyBorder="1"/>
    <xf numFmtId="0" fontId="22" fillId="45" borderId="16" xfId="0" applyFont="1" applyFill="1" applyBorder="1"/>
    <xf numFmtId="0" fontId="0" fillId="46" borderId="16" xfId="0" applyFill="1" applyBorder="1"/>
    <xf numFmtId="0" fontId="0" fillId="46" borderId="17" xfId="0" applyFill="1" applyBorder="1"/>
    <xf numFmtId="16" fontId="22" fillId="43" borderId="11" xfId="0" applyNumberFormat="1" applyFont="1" applyFill="1" applyBorder="1"/>
    <xf numFmtId="0" fontId="22" fillId="43" borderId="11" xfId="0" applyFont="1" applyFill="1" applyBorder="1"/>
    <xf numFmtId="0" fontId="22" fillId="43" borderId="12" xfId="0" applyFont="1" applyFill="1" applyBorder="1"/>
    <xf numFmtId="0" fontId="23" fillId="0" borderId="0" xfId="0" applyFont="1" applyAlignment="1">
      <alignment horizontal="center"/>
    </xf>
    <xf numFmtId="0" fontId="23" fillId="0" borderId="13" xfId="0" applyFont="1" applyBorder="1" applyAlignment="1">
      <alignment horizontal="center" wrapText="1"/>
    </xf>
    <xf numFmtId="0" fontId="23" fillId="0" borderId="13" xfId="0" applyFont="1" applyBorder="1" applyAlignment="1">
      <alignment horizontal="center"/>
    </xf>
    <xf numFmtId="0" fontId="23" fillId="0" borderId="11" xfId="0" applyFont="1" applyBorder="1" applyAlignment="1">
      <alignment horizontal="center"/>
    </xf>
    <xf numFmtId="0" fontId="23" fillId="0" borderId="12" xfId="0" applyFont="1" applyBorder="1" applyAlignment="1">
      <alignment horizontal="center"/>
    </xf>
    <xf numFmtId="0" fontId="23" fillId="47" borderId="15" xfId="0" applyFont="1" applyFill="1" applyBorder="1" applyAlignment="1">
      <alignment horizontal="center"/>
    </xf>
    <xf numFmtId="0" fontId="23" fillId="47" borderId="16" xfId="0" applyFont="1" applyFill="1" applyBorder="1" applyAlignment="1">
      <alignment horizontal="center"/>
    </xf>
    <xf numFmtId="0" fontId="22" fillId="43" borderId="10" xfId="0" applyFont="1" applyFill="1" applyBorder="1" applyAlignment="1">
      <alignment horizontal="center"/>
    </xf>
    <xf numFmtId="0" fontId="22" fillId="43" borderId="11" xfId="0" applyFont="1" applyFill="1" applyBorder="1" applyAlignment="1">
      <alignment horizont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F474"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19" t="s">
        <v>54</v>
      </c>
      <c r="B1" s="119" t="s">
        <v>2</v>
      </c>
      <c r="C1" s="119" t="s">
        <v>55</v>
      </c>
      <c r="D1" s="119" t="s">
        <v>56</v>
      </c>
      <c r="E1" s="119" t="s">
        <v>57</v>
      </c>
      <c r="F1" s="118" t="s">
        <v>58</v>
      </c>
      <c r="G1" s="118"/>
      <c r="H1" s="118"/>
      <c r="I1" s="118"/>
      <c r="J1" s="118"/>
      <c r="K1" s="118"/>
      <c r="L1" s="118"/>
      <c r="M1" s="118"/>
      <c r="N1" s="118"/>
      <c r="O1" s="118"/>
      <c r="P1" s="118"/>
      <c r="Q1" s="118"/>
      <c r="R1" s="121" t="s">
        <v>59</v>
      </c>
      <c r="S1" s="121"/>
      <c r="T1" s="121"/>
      <c r="U1" s="121"/>
      <c r="V1" s="121"/>
      <c r="W1" s="121"/>
      <c r="X1" s="121"/>
      <c r="Y1" s="121"/>
      <c r="Z1" s="121"/>
      <c r="AA1" s="121"/>
      <c r="AB1" s="121"/>
      <c r="AC1" s="121"/>
      <c r="AD1" s="122" t="s">
        <v>60</v>
      </c>
      <c r="AE1" s="122"/>
      <c r="AF1" s="122"/>
      <c r="AG1" s="122"/>
      <c r="AH1" s="122"/>
      <c r="AI1" s="122"/>
      <c r="AJ1" s="122"/>
      <c r="AK1" s="122"/>
      <c r="AL1" s="122"/>
      <c r="AM1" s="122"/>
      <c r="AN1" s="122"/>
      <c r="AO1" s="122"/>
      <c r="AP1" s="123" t="s">
        <v>61</v>
      </c>
      <c r="AQ1" s="123"/>
      <c r="AR1" s="123"/>
      <c r="AS1" s="123"/>
      <c r="AT1" s="123"/>
      <c r="AU1" s="123"/>
      <c r="AV1" s="123"/>
      <c r="AW1" s="123"/>
      <c r="AX1" s="123"/>
      <c r="AY1" s="123"/>
      <c r="AZ1" s="123"/>
      <c r="BA1" s="123"/>
      <c r="BB1" s="124" t="s">
        <v>62</v>
      </c>
      <c r="BC1" s="124"/>
      <c r="BD1" s="124"/>
      <c r="BE1" s="124"/>
      <c r="BF1" s="124"/>
      <c r="BG1" s="124"/>
      <c r="BH1" s="124"/>
      <c r="BI1" s="124"/>
      <c r="BJ1" s="124"/>
      <c r="BK1" s="124"/>
      <c r="BL1" s="124"/>
      <c r="BM1" s="124"/>
      <c r="BN1" s="125" t="s">
        <v>63</v>
      </c>
      <c r="BO1" s="125"/>
      <c r="BP1" s="125"/>
      <c r="BQ1" s="125"/>
      <c r="BR1" s="125"/>
      <c r="BS1" s="125"/>
      <c r="BT1" s="125"/>
      <c r="BU1" s="125"/>
      <c r="BV1" s="125"/>
      <c r="BW1" s="125"/>
      <c r="BX1" s="125"/>
      <c r="BY1" s="125"/>
      <c r="BZ1" s="126" t="s">
        <v>64</v>
      </c>
      <c r="CA1" s="126"/>
      <c r="CB1" s="126"/>
      <c r="CC1" s="126"/>
      <c r="CD1" s="126"/>
      <c r="CE1" s="126"/>
      <c r="CF1" s="126"/>
      <c r="CG1" s="126"/>
      <c r="CH1" s="126"/>
      <c r="CI1" s="126"/>
      <c r="CJ1" s="126"/>
      <c r="CK1" s="126"/>
      <c r="CL1" s="120" t="s">
        <v>65</v>
      </c>
      <c r="CM1" s="120"/>
      <c r="CN1" s="120"/>
      <c r="CO1" s="120"/>
      <c r="CP1" s="120"/>
      <c r="CQ1" s="120"/>
      <c r="CR1" s="120"/>
      <c r="CS1" s="120"/>
      <c r="CT1" s="120"/>
      <c r="CU1" s="120"/>
      <c r="CV1" s="120"/>
      <c r="CW1" s="120"/>
    </row>
    <row r="2" spans="1:101" ht="15.75" customHeight="1" x14ac:dyDescent="0.45">
      <c r="A2" s="119"/>
      <c r="B2" s="119"/>
      <c r="C2" s="119"/>
      <c r="D2" s="119"/>
      <c r="E2" s="119"/>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CL1:CW1"/>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S499"/>
  <sheetViews>
    <sheetView zoomScaleNormal="100" workbookViewId="0">
      <pane xSplit="5" ySplit="2" topLeftCell="DH23" activePane="bottomRight" state="frozen"/>
      <selection pane="topRight" activeCell="F1" sqref="F1"/>
      <selection pane="bottomLeft" activeCell="A3" sqref="A3"/>
      <selection pane="bottomRight" activeCell="DJ17" sqref="DJ17"/>
    </sheetView>
  </sheetViews>
  <sheetFormatPr defaultColWidth="8.6640625" defaultRowHeight="14.25" x14ac:dyDescent="0.45"/>
  <cols>
    <col min="1" max="1" width="10" customWidth="1"/>
    <col min="2" max="2" width="14" customWidth="1"/>
    <col min="3" max="4" width="9" customWidth="1"/>
    <col min="5" max="5" width="13" customWidth="1"/>
    <col min="6" max="109" width="9" customWidth="1"/>
    <col min="110" max="110" width="16.73046875" customWidth="1"/>
    <col min="111" max="113" width="9" customWidth="1"/>
  </cols>
  <sheetData>
    <row r="1" spans="1:123" ht="21.75" customHeight="1" x14ac:dyDescent="0.45">
      <c r="A1" s="119" t="s">
        <v>54</v>
      </c>
      <c r="B1" s="119" t="s">
        <v>2</v>
      </c>
      <c r="C1" s="119" t="s">
        <v>55</v>
      </c>
      <c r="D1" s="119" t="s">
        <v>56</v>
      </c>
      <c r="E1" s="119" t="s">
        <v>57</v>
      </c>
      <c r="F1" s="118" t="s">
        <v>58</v>
      </c>
      <c r="G1" s="118"/>
      <c r="H1" s="118"/>
      <c r="I1" s="118"/>
      <c r="J1" s="118"/>
      <c r="K1" s="118"/>
      <c r="L1" s="118"/>
      <c r="M1" s="118"/>
      <c r="N1" s="118"/>
      <c r="O1" s="118"/>
      <c r="P1" s="118"/>
      <c r="Q1" s="118"/>
      <c r="R1" s="121" t="s">
        <v>59</v>
      </c>
      <c r="S1" s="121"/>
      <c r="T1" s="121"/>
      <c r="U1" s="121"/>
      <c r="V1" s="121"/>
      <c r="W1" s="121"/>
      <c r="X1" s="121"/>
      <c r="Y1" s="121"/>
      <c r="Z1" s="121"/>
      <c r="AA1" s="121"/>
      <c r="AB1" s="121"/>
      <c r="AC1" s="121"/>
      <c r="AD1" s="122" t="s">
        <v>60</v>
      </c>
      <c r="AE1" s="122"/>
      <c r="AF1" s="122"/>
      <c r="AG1" s="122"/>
      <c r="AH1" s="122"/>
      <c r="AI1" s="122"/>
      <c r="AJ1" s="122"/>
      <c r="AK1" s="122"/>
      <c r="AL1" s="122"/>
      <c r="AM1" s="122"/>
      <c r="AN1" s="122"/>
      <c r="AO1" s="122"/>
      <c r="AP1" s="123" t="s">
        <v>61</v>
      </c>
      <c r="AQ1" s="123"/>
      <c r="AR1" s="123"/>
      <c r="AS1" s="123"/>
      <c r="AT1" s="123"/>
      <c r="AU1" s="123"/>
      <c r="AV1" s="123"/>
      <c r="AW1" s="123"/>
      <c r="AX1" s="123"/>
      <c r="AY1" s="123"/>
      <c r="AZ1" s="123"/>
      <c r="BA1" s="123"/>
      <c r="BB1" s="124" t="s">
        <v>62</v>
      </c>
      <c r="BC1" s="124"/>
      <c r="BD1" s="124"/>
      <c r="BE1" s="124"/>
      <c r="BF1" s="124"/>
      <c r="BG1" s="124"/>
      <c r="BH1" s="124"/>
      <c r="BI1" s="124"/>
      <c r="BJ1" s="124"/>
      <c r="BK1" s="124"/>
      <c r="BL1" s="124"/>
      <c r="BM1" s="124"/>
      <c r="BN1" s="125" t="s">
        <v>63</v>
      </c>
      <c r="BO1" s="125"/>
      <c r="BP1" s="125"/>
      <c r="BQ1" s="125"/>
      <c r="BR1" s="125"/>
      <c r="BS1" s="125"/>
      <c r="BT1" s="125"/>
      <c r="BU1" s="125"/>
      <c r="BV1" s="125"/>
      <c r="BW1" s="125"/>
      <c r="BX1" s="125"/>
      <c r="BY1" s="125"/>
      <c r="BZ1" s="126" t="s">
        <v>64</v>
      </c>
      <c r="CA1" s="126"/>
      <c r="CB1" s="126"/>
      <c r="CC1" s="126"/>
      <c r="CD1" s="126"/>
      <c r="CE1" s="126"/>
      <c r="CF1" s="126"/>
      <c r="CG1" s="126"/>
      <c r="CH1" s="126"/>
      <c r="CI1" s="126"/>
      <c r="CJ1" s="126"/>
      <c r="CK1" s="126"/>
      <c r="CL1" s="120" t="s">
        <v>65</v>
      </c>
      <c r="CM1" s="120"/>
      <c r="CN1" s="120"/>
      <c r="CO1" s="120"/>
      <c r="CP1" s="120"/>
      <c r="CQ1" s="120"/>
      <c r="CR1" s="120"/>
      <c r="CS1" s="120"/>
      <c r="CT1" s="120"/>
      <c r="CU1" s="120"/>
      <c r="CV1" s="120"/>
      <c r="CW1" s="120"/>
      <c r="CX1" s="86">
        <v>2018</v>
      </c>
      <c r="CY1" s="86">
        <v>2019</v>
      </c>
      <c r="CZ1" s="86">
        <v>2020</v>
      </c>
      <c r="DA1" s="86">
        <v>2021</v>
      </c>
      <c r="DB1" s="86">
        <v>2022</v>
      </c>
      <c r="DC1" s="86">
        <v>2023</v>
      </c>
      <c r="DD1" s="86">
        <v>2024</v>
      </c>
      <c r="DE1" s="86">
        <v>2025</v>
      </c>
      <c r="DF1" s="127" t="s">
        <v>577</v>
      </c>
    </row>
    <row r="2" spans="1:123" ht="15.75" customHeight="1" x14ac:dyDescent="0.45">
      <c r="A2" s="119"/>
      <c r="B2" s="119"/>
      <c r="C2" s="119"/>
      <c r="D2" s="119"/>
      <c r="E2" s="119"/>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DF2" s="127"/>
    </row>
    <row r="3" spans="1:123"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f>SUM(F3:Q3)</f>
        <v>4777.43</v>
      </c>
      <c r="CY3">
        <f>SUM(R3:AC3)</f>
        <v>0</v>
      </c>
      <c r="CZ3">
        <f>SUM(AD3:AO3)</f>
        <v>0</v>
      </c>
      <c r="DA3">
        <f>SUM(AP3:BA3)</f>
        <v>0</v>
      </c>
      <c r="DB3">
        <f>SUM(BB3:BM3)</f>
        <v>0</v>
      </c>
      <c r="DC3">
        <f>SUM(BN3:BY3)</f>
        <v>0</v>
      </c>
      <c r="DD3">
        <f>SUM(BZ3:CK3)</f>
        <v>0</v>
      </c>
      <c r="DE3">
        <f>SUM(CL3:CW3)</f>
        <v>0</v>
      </c>
      <c r="DF3">
        <f t="shared" ref="DF3:DF66" si="0">SUM(F3:CW3)</f>
        <v>4777.43</v>
      </c>
    </row>
    <row r="4" spans="1:123"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f t="shared" ref="CX4:CX67" si="1">SUM(F4:Q4)</f>
        <v>0</v>
      </c>
      <c r="CY4">
        <f t="shared" ref="CY4:CY67" si="2">SUM(R4:AC4)</f>
        <v>0</v>
      </c>
      <c r="CZ4">
        <f t="shared" ref="CZ4:CZ67" si="3">SUM(AD4:AO4)</f>
        <v>0</v>
      </c>
      <c r="DA4">
        <f t="shared" ref="DA4:DA67" si="4">SUM(AP4:BA4)</f>
        <v>0</v>
      </c>
      <c r="DB4">
        <f t="shared" ref="DB4:DB67" si="5">SUM(BB4:BM4)</f>
        <v>5454.3</v>
      </c>
      <c r="DC4">
        <f t="shared" ref="DC4:DC67" si="6">SUM(BN4:BY4)</f>
        <v>881.28</v>
      </c>
      <c r="DD4">
        <f t="shared" ref="DD4:DD67" si="7">SUM(BZ4:CK4)</f>
        <v>0</v>
      </c>
      <c r="DE4">
        <f t="shared" ref="DE4:DE67" si="8">SUM(CL4:CW4)</f>
        <v>0</v>
      </c>
      <c r="DF4">
        <f t="shared" si="0"/>
        <v>6335.58</v>
      </c>
      <c r="DJ4" s="87" t="s">
        <v>19</v>
      </c>
      <c r="DL4" t="s">
        <v>586</v>
      </c>
    </row>
    <row r="5" spans="1:123"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f t="shared" si="1"/>
        <v>0</v>
      </c>
      <c r="CY5">
        <f t="shared" si="2"/>
        <v>0</v>
      </c>
      <c r="CZ5">
        <f t="shared" si="3"/>
        <v>0</v>
      </c>
      <c r="DA5">
        <f t="shared" si="4"/>
        <v>0</v>
      </c>
      <c r="DB5">
        <f t="shared" si="5"/>
        <v>0</v>
      </c>
      <c r="DC5">
        <f t="shared" si="6"/>
        <v>4640.37</v>
      </c>
      <c r="DD5">
        <f t="shared" si="7"/>
        <v>0</v>
      </c>
      <c r="DE5">
        <f t="shared" si="8"/>
        <v>0</v>
      </c>
      <c r="DF5">
        <f t="shared" si="0"/>
        <v>4640.37</v>
      </c>
      <c r="DL5" t="s">
        <v>578</v>
      </c>
      <c r="DM5" t="s">
        <v>579</v>
      </c>
      <c r="DN5" t="s">
        <v>580</v>
      </c>
      <c r="DO5" t="s">
        <v>581</v>
      </c>
      <c r="DP5" t="s">
        <v>582</v>
      </c>
      <c r="DQ5" t="s">
        <v>583</v>
      </c>
      <c r="DR5" t="s">
        <v>584</v>
      </c>
      <c r="DS5" t="s">
        <v>585</v>
      </c>
    </row>
    <row r="6" spans="1:123"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f t="shared" si="1"/>
        <v>0</v>
      </c>
      <c r="CY6">
        <f t="shared" si="2"/>
        <v>0</v>
      </c>
      <c r="CZ6">
        <f t="shared" si="3"/>
        <v>0</v>
      </c>
      <c r="DA6">
        <f t="shared" si="4"/>
        <v>0</v>
      </c>
      <c r="DB6">
        <f t="shared" si="5"/>
        <v>0</v>
      </c>
      <c r="DC6">
        <f t="shared" si="6"/>
        <v>0</v>
      </c>
      <c r="DD6">
        <f t="shared" si="7"/>
        <v>0</v>
      </c>
      <c r="DE6">
        <f t="shared" si="8"/>
        <v>6517.61</v>
      </c>
      <c r="DF6">
        <f t="shared" si="0"/>
        <v>6517.61</v>
      </c>
      <c r="DK6" s="87">
        <v>2018</v>
      </c>
      <c r="DL6">
        <f>SUMIFS(CX$3:CX$499,$B$3:$B$499,$DJ$4,$C$3:$C$499,$DK6,$DF$3:$DF$499,"&lt;250000")</f>
        <v>105634.59000000001</v>
      </c>
      <c r="DM6">
        <f>DL$6 + SUMIFS(CY$3:CY$499,$B$3:$B$499,$DJ$4,$C$3:$C$499,$DK6,$DF$3:$DF$499,"&lt;250000")</f>
        <v>206961.93</v>
      </c>
      <c r="DN6">
        <f t="shared" ref="DN6:DS6" si="9">DM$6 + SUMIFS(CZ$3:CZ$499,$B$3:$B$499,$DJ$4,$C$3:$C$499,$DK6,$DF$3:$DF$499,"&lt;250000")</f>
        <v>233275.24</v>
      </c>
      <c r="DO6">
        <f t="shared" si="9"/>
        <v>234598.81</v>
      </c>
      <c r="DP6">
        <f t="shared" si="9"/>
        <v>234598.81</v>
      </c>
      <c r="DQ6">
        <f t="shared" si="9"/>
        <v>234598.81</v>
      </c>
      <c r="DR6">
        <f t="shared" si="9"/>
        <v>234598.81</v>
      </c>
      <c r="DS6">
        <f t="shared" si="9"/>
        <v>234598.81</v>
      </c>
    </row>
    <row r="7" spans="1:123"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f t="shared" si="1"/>
        <v>0</v>
      </c>
      <c r="CY7">
        <f t="shared" si="2"/>
        <v>0</v>
      </c>
      <c r="CZ7">
        <f t="shared" si="3"/>
        <v>0</v>
      </c>
      <c r="DA7">
        <f t="shared" si="4"/>
        <v>0</v>
      </c>
      <c r="DB7">
        <f t="shared" si="5"/>
        <v>0</v>
      </c>
      <c r="DC7">
        <f t="shared" si="6"/>
        <v>50.37</v>
      </c>
      <c r="DD7">
        <f t="shared" si="7"/>
        <v>3894.2</v>
      </c>
      <c r="DE7">
        <f t="shared" si="8"/>
        <v>2943.16</v>
      </c>
      <c r="DF7">
        <f t="shared" si="0"/>
        <v>6887.73</v>
      </c>
      <c r="DK7" s="87">
        <v>2019</v>
      </c>
      <c r="DL7">
        <f>SUMIFS(CY$3:CY$499,$B$3:$B$499,$DJ$4,$C$3:$C$499,$DK7,$DF$3:$DF$499,"&lt;250000")</f>
        <v>44158.76999999999</v>
      </c>
      <c r="DM7">
        <f>DL$7 + SUMIFS(CZ$3:CZ$499,$B$3:$B$499,$DJ$4,$C$3:$C$499,$DK7,$DF$3:$DF$499,"&lt;250000")</f>
        <v>196916.97999999998</v>
      </c>
      <c r="DN7">
        <f t="shared" ref="DN7:DR7" si="10">DM$7 + SUMIFS(DA$3:DA$499,$B$3:$B$499,$DJ$4,$C$3:$C$499,$DK7,$DF$3:$DF$499,"&lt;250000")</f>
        <v>262101.07</v>
      </c>
      <c r="DO7">
        <f t="shared" si="10"/>
        <v>262409.07</v>
      </c>
      <c r="DP7">
        <f t="shared" si="10"/>
        <v>262409.07</v>
      </c>
      <c r="DQ7">
        <f t="shared" si="10"/>
        <v>262409.07</v>
      </c>
      <c r="DR7">
        <f t="shared" si="10"/>
        <v>262409.07</v>
      </c>
    </row>
    <row r="8" spans="1:123"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f t="shared" si="1"/>
        <v>0</v>
      </c>
      <c r="CY8">
        <f t="shared" si="2"/>
        <v>0</v>
      </c>
      <c r="CZ8">
        <f t="shared" si="3"/>
        <v>0</v>
      </c>
      <c r="DA8">
        <f t="shared" si="4"/>
        <v>0</v>
      </c>
      <c r="DB8">
        <f t="shared" si="5"/>
        <v>0</v>
      </c>
      <c r="DC8">
        <f t="shared" si="6"/>
        <v>0</v>
      </c>
      <c r="DD8">
        <f t="shared" si="7"/>
        <v>4538.2500000000009</v>
      </c>
      <c r="DE8">
        <f t="shared" si="8"/>
        <v>0</v>
      </c>
      <c r="DF8">
        <f t="shared" si="0"/>
        <v>4538.2500000000009</v>
      </c>
      <c r="DK8" s="87">
        <v>2020</v>
      </c>
      <c r="DL8">
        <f>SUMIFS(CZ$3:CZ$499,$B$3:$B$499,$DJ$4,$C$3:$C$499,$DK8,$DF$3:$DF$499,"&lt;250000")</f>
        <v>102435.3</v>
      </c>
      <c r="DM8">
        <f>DL8 + SUMIFS(DA$3:DA$499,$B$3:$B$499,$DJ$4,$C$3:$C$499,$DK8,$DF$3:$DF$499,"&lt;250000")</f>
        <v>226898.07</v>
      </c>
      <c r="DN8">
        <f t="shared" ref="DN8:DP8" si="11">DM8 + SUMIFS(DB$3:DB$499,$B$3:$B$499,$DJ$4,$C$3:$C$499,$DK8,$DF$3:$DF$499,"&lt;250000")</f>
        <v>253475.6</v>
      </c>
      <c r="DO8">
        <f t="shared" si="11"/>
        <v>253475.6</v>
      </c>
      <c r="DP8">
        <f t="shared" si="11"/>
        <v>253475.6</v>
      </c>
      <c r="DQ8">
        <f>DP8 + SUMIFS(DE$3:DE$499,$B$3:$B$499,$DJ$4,$C$3:$C$499,$DK8,$DF$3:$DF$499,"&lt;250000")</f>
        <v>253475.6</v>
      </c>
    </row>
    <row r="9" spans="1:123"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f>SUM(F9:Q9)</f>
        <v>2435.31</v>
      </c>
      <c r="CY9">
        <f t="shared" si="2"/>
        <v>2449.96</v>
      </c>
      <c r="CZ9">
        <f t="shared" si="3"/>
        <v>0</v>
      </c>
      <c r="DA9">
        <f t="shared" si="4"/>
        <v>0</v>
      </c>
      <c r="DB9">
        <f t="shared" si="5"/>
        <v>0</v>
      </c>
      <c r="DC9">
        <f t="shared" si="6"/>
        <v>0</v>
      </c>
      <c r="DD9">
        <f t="shared" si="7"/>
        <v>0</v>
      </c>
      <c r="DE9">
        <f t="shared" si="8"/>
        <v>0</v>
      </c>
      <c r="DF9">
        <f t="shared" si="0"/>
        <v>4885.2699999999995</v>
      </c>
      <c r="DJ9" t="s">
        <v>587</v>
      </c>
      <c r="DK9" s="87">
        <v>2021</v>
      </c>
      <c r="DL9">
        <f>SUMIFS(DA$3:DA$499,$B$3:$B$499,$DJ$4,$C$3:$C$499,$DK9,$DF$3:$DF$499,"&lt;250000")</f>
        <v>106664.86</v>
      </c>
      <c r="DM9">
        <f>DL$9 + SUMIFS(DB$3:DB$499,$B$3:$B$499,$DJ$4,$C$3:$C$499,$DK9,$DF$3:$DF$499,"&lt;250000")</f>
        <v>271409.80000000005</v>
      </c>
      <c r="DN9">
        <f t="shared" ref="DN9:DO9" si="12">DM$9 + SUMIFS(DC$3:DC$499,$B$3:$B$499,$DJ$4,$C$3:$C$499,$DK9,$DF$3:$DF$499,"&lt;250000")</f>
        <v>328244.28000000003</v>
      </c>
      <c r="DO9">
        <f t="shared" si="12"/>
        <v>328244.28000000003</v>
      </c>
      <c r="DP9">
        <f>DO$9 + SUMIFS(DE$3:DE$499,$B$3:$B$499,$DJ$4,$C$3:$C$499,$DK9,$DF$3:$DF$499,"&lt;250000")</f>
        <v>328244.28000000003</v>
      </c>
    </row>
    <row r="10" spans="1:123"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f t="shared" si="1"/>
        <v>0</v>
      </c>
      <c r="CY10">
        <f t="shared" si="2"/>
        <v>0</v>
      </c>
      <c r="CZ10">
        <f t="shared" si="3"/>
        <v>0</v>
      </c>
      <c r="DA10">
        <f t="shared" si="4"/>
        <v>0</v>
      </c>
      <c r="DB10">
        <f t="shared" si="5"/>
        <v>1354.34</v>
      </c>
      <c r="DC10">
        <f t="shared" si="6"/>
        <v>7886.5</v>
      </c>
      <c r="DD10">
        <f t="shared" si="7"/>
        <v>0</v>
      </c>
      <c r="DE10">
        <f t="shared" si="8"/>
        <v>0</v>
      </c>
      <c r="DF10">
        <f t="shared" si="0"/>
        <v>9240.84</v>
      </c>
      <c r="DJ10" t="s">
        <v>588</v>
      </c>
      <c r="DK10" s="87">
        <v>2022</v>
      </c>
      <c r="DL10">
        <f>SUMIFS(DB$3:DB$499,$B$3:$B$499,$DJ$4,$C$3:$C$499,$DK10,$DF$3:$DF$499,"&lt;250000")</f>
        <v>135005.53000000003</v>
      </c>
      <c r="DM10">
        <f>DL$10 + SUMIFS(DC$3:DC$499,$B$3:$B$499,$DJ$4,$C$3:$C$499,$DK10,$DF$3:$DF$499,"&lt;250000")</f>
        <v>370015.24000000005</v>
      </c>
      <c r="DN10">
        <f t="shared" ref="DN10:DO10" si="13">DM$10 + SUMIFS(DD$3:DD$499,$B$3:$B$499,$DJ$4,$C$3:$C$499,$DK10,$DF$3:$DF$499,"&lt;250000")</f>
        <v>404580.11000000004</v>
      </c>
      <c r="DO10">
        <f t="shared" si="13"/>
        <v>404580.11000000004</v>
      </c>
    </row>
    <row r="11" spans="1:123"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f t="shared" si="1"/>
        <v>0</v>
      </c>
      <c r="CY11">
        <f t="shared" si="2"/>
        <v>553.12</v>
      </c>
      <c r="CZ11">
        <f t="shared" si="3"/>
        <v>1745.98</v>
      </c>
      <c r="DA11">
        <f t="shared" si="4"/>
        <v>0</v>
      </c>
      <c r="DB11">
        <f t="shared" si="5"/>
        <v>0</v>
      </c>
      <c r="DC11">
        <f t="shared" si="6"/>
        <v>0</v>
      </c>
      <c r="DD11">
        <f t="shared" si="7"/>
        <v>0</v>
      </c>
      <c r="DE11">
        <f t="shared" si="8"/>
        <v>0</v>
      </c>
      <c r="DF11">
        <f t="shared" si="0"/>
        <v>2299.1</v>
      </c>
      <c r="DK11" s="87">
        <v>2023</v>
      </c>
      <c r="DL11">
        <f>SUMIFS(DC$3:DC$499,$B$3:$B$499,$DJ$4,$C$3:$C$499,$DK11,$DF$3:$DF$499,"&lt;250000")</f>
        <v>118381.09</v>
      </c>
      <c r="DM11">
        <f>DL$11 + SUMIFS(DD$3:DD$499,$B$3:$B$499,$DJ$4,$C$3:$C$499,$DK11,$DF$3:$DF$499,"&lt;250000")</f>
        <v>428982.91000000003</v>
      </c>
      <c r="DN11">
        <f>DM$11 + SUMIFS(DE$3:DE$499,$B$3:$B$499,$DJ$4,$C$3:$C$499,$DK11,$DF$3:$DF$499,"&lt;250000")</f>
        <v>536360.42000000004</v>
      </c>
    </row>
    <row r="12" spans="1:123"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f t="shared" si="1"/>
        <v>4799.57</v>
      </c>
      <c r="CY12">
        <f t="shared" si="2"/>
        <v>19552.829999999998</v>
      </c>
      <c r="CZ12">
        <f t="shared" si="3"/>
        <v>15654.57</v>
      </c>
      <c r="DA12">
        <f t="shared" si="4"/>
        <v>0</v>
      </c>
      <c r="DB12">
        <f t="shared" si="5"/>
        <v>0</v>
      </c>
      <c r="DC12">
        <f t="shared" si="6"/>
        <v>0</v>
      </c>
      <c r="DD12">
        <f t="shared" si="7"/>
        <v>0</v>
      </c>
      <c r="DE12">
        <f t="shared" si="8"/>
        <v>0</v>
      </c>
      <c r="DF12">
        <f t="shared" si="0"/>
        <v>40006.97</v>
      </c>
      <c r="DK12" s="87">
        <v>2024</v>
      </c>
      <c r="DL12">
        <f>SUMIFS(DD$3:DD$499,$B$3:$B$499,$DJ$4,$C$3:$C$499,$DK12,$DF$3:$DF$499,"&lt;250000")</f>
        <v>79555.990000000005</v>
      </c>
      <c r="DM12">
        <f>DL$12 + SUMIFS(DE$3:DE$499,$B$3:$B$499,$DJ$4,$C$3:$C$499,$DK12,$DF$3:$DF$499,"&lt;250000")</f>
        <v>149855.94</v>
      </c>
    </row>
    <row r="13" spans="1:123"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f t="shared" si="1"/>
        <v>0</v>
      </c>
      <c r="CY13">
        <f t="shared" si="2"/>
        <v>0</v>
      </c>
      <c r="CZ13">
        <f t="shared" si="3"/>
        <v>0</v>
      </c>
      <c r="DA13">
        <f t="shared" si="4"/>
        <v>0</v>
      </c>
      <c r="DB13">
        <f t="shared" si="5"/>
        <v>0</v>
      </c>
      <c r="DC13">
        <f t="shared" si="6"/>
        <v>0</v>
      </c>
      <c r="DD13">
        <f t="shared" si="7"/>
        <v>0</v>
      </c>
      <c r="DE13">
        <f t="shared" si="8"/>
        <v>1943.71</v>
      </c>
      <c r="DF13">
        <f t="shared" si="0"/>
        <v>1943.71</v>
      </c>
      <c r="DK13" s="87">
        <v>2025</v>
      </c>
      <c r="DL13">
        <f>SUMIFS(DE$3:DE$499,$B$3:$B$499,$DJ$4,$C$3:$C$499,$DK13,$DF$3:$DF$499,"&lt;250000")</f>
        <v>33167.06</v>
      </c>
    </row>
    <row r="14" spans="1:123"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f t="shared" si="1"/>
        <v>5703.18</v>
      </c>
      <c r="CY14">
        <f t="shared" si="2"/>
        <v>3257.8</v>
      </c>
      <c r="CZ14">
        <f t="shared" si="3"/>
        <v>0</v>
      </c>
      <c r="DA14">
        <f t="shared" si="4"/>
        <v>0</v>
      </c>
      <c r="DB14">
        <f t="shared" si="5"/>
        <v>0</v>
      </c>
      <c r="DC14">
        <f t="shared" si="6"/>
        <v>0</v>
      </c>
      <c r="DD14">
        <f t="shared" si="7"/>
        <v>0</v>
      </c>
      <c r="DE14">
        <f t="shared" si="8"/>
        <v>0</v>
      </c>
      <c r="DF14">
        <f t="shared" si="0"/>
        <v>8960.9800000000014</v>
      </c>
    </row>
    <row r="15" spans="1:123"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f t="shared" si="1"/>
        <v>0</v>
      </c>
      <c r="CY15">
        <f t="shared" si="2"/>
        <v>0</v>
      </c>
      <c r="CZ15">
        <f t="shared" si="3"/>
        <v>0</v>
      </c>
      <c r="DA15">
        <f t="shared" si="4"/>
        <v>0</v>
      </c>
      <c r="DB15">
        <f t="shared" si="5"/>
        <v>1450.68</v>
      </c>
      <c r="DC15">
        <f t="shared" si="6"/>
        <v>1600.44</v>
      </c>
      <c r="DD15">
        <f t="shared" si="7"/>
        <v>0</v>
      </c>
      <c r="DE15">
        <f t="shared" si="8"/>
        <v>0</v>
      </c>
      <c r="DF15">
        <f t="shared" si="0"/>
        <v>3051.12</v>
      </c>
    </row>
    <row r="16" spans="1:123"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f t="shared" si="1"/>
        <v>0</v>
      </c>
      <c r="CY16">
        <f t="shared" si="2"/>
        <v>0</v>
      </c>
      <c r="CZ16">
        <f t="shared" si="3"/>
        <v>0</v>
      </c>
      <c r="DA16">
        <f t="shared" si="4"/>
        <v>0</v>
      </c>
      <c r="DB16">
        <f t="shared" si="5"/>
        <v>0</v>
      </c>
      <c r="DC16">
        <f t="shared" si="6"/>
        <v>3989.1999999999994</v>
      </c>
      <c r="DD16">
        <f t="shared" si="7"/>
        <v>8787.0600000000013</v>
      </c>
      <c r="DE16">
        <f t="shared" si="8"/>
        <v>0</v>
      </c>
      <c r="DF16">
        <f t="shared" si="0"/>
        <v>12776.26</v>
      </c>
      <c r="DJ16" s="87" t="s">
        <v>13</v>
      </c>
      <c r="DL16" t="s">
        <v>586</v>
      </c>
    </row>
    <row r="17" spans="1:123"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f t="shared" si="1"/>
        <v>4333.54</v>
      </c>
      <c r="CY17">
        <f t="shared" si="2"/>
        <v>0</v>
      </c>
      <c r="CZ17">
        <f t="shared" si="3"/>
        <v>0</v>
      </c>
      <c r="DA17">
        <f t="shared" si="4"/>
        <v>0</v>
      </c>
      <c r="DB17">
        <f t="shared" si="5"/>
        <v>0</v>
      </c>
      <c r="DC17">
        <f t="shared" si="6"/>
        <v>0</v>
      </c>
      <c r="DD17">
        <f t="shared" si="7"/>
        <v>0</v>
      </c>
      <c r="DE17">
        <f t="shared" si="8"/>
        <v>0</v>
      </c>
      <c r="DF17">
        <f t="shared" si="0"/>
        <v>4333.54</v>
      </c>
      <c r="DL17" t="s">
        <v>578</v>
      </c>
      <c r="DM17" t="s">
        <v>579</v>
      </c>
      <c r="DN17" t="s">
        <v>580</v>
      </c>
      <c r="DO17" t="s">
        <v>581</v>
      </c>
      <c r="DP17" t="s">
        <v>582</v>
      </c>
      <c r="DQ17" t="s">
        <v>583</v>
      </c>
      <c r="DR17" t="s">
        <v>584</v>
      </c>
      <c r="DS17" t="s">
        <v>585</v>
      </c>
    </row>
    <row r="18" spans="1:123"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f t="shared" si="1"/>
        <v>0</v>
      </c>
      <c r="CY18">
        <f t="shared" si="2"/>
        <v>0</v>
      </c>
      <c r="CZ18">
        <f t="shared" si="3"/>
        <v>4165.95</v>
      </c>
      <c r="DA18">
        <f t="shared" si="4"/>
        <v>0</v>
      </c>
      <c r="DB18">
        <f t="shared" si="5"/>
        <v>0</v>
      </c>
      <c r="DC18">
        <f t="shared" si="6"/>
        <v>0</v>
      </c>
      <c r="DD18">
        <f t="shared" si="7"/>
        <v>0</v>
      </c>
      <c r="DE18">
        <f t="shared" si="8"/>
        <v>0</v>
      </c>
      <c r="DF18">
        <f t="shared" si="0"/>
        <v>4165.95</v>
      </c>
      <c r="DK18" s="87">
        <v>2018</v>
      </c>
      <c r="DL18" cm="1">
        <f t="array" ref="DL18">SUM(_xlfn._xlws.FILTER($CX$3:CX$499,($B$3:$B$499=$DJ$16)*($C$3:$C$499=$DK18)*($DF$3:$DF$499&lt;250000),""))</f>
        <v>18750.690000000002</v>
      </c>
      <c r="DM18" cm="1">
        <f t="array" ref="DM18">SUM(_xlfn._xlws.FILTER($CX$3:CY$499,($B$3:$B$499=$DJ$16)*($C$3:$C$499=$DK18)*($DF$3:$DF$499&lt;250000),""))</f>
        <v>35749.99</v>
      </c>
      <c r="DN18" cm="1">
        <f t="array" ref="DN18">SUM(_xlfn._xlws.FILTER($CX$3:CZ$499,($B$3:$B$499=$DJ$16)*($C$3:$C$499=$DK18)*($DF$3:$DF$499&lt;250000),""))</f>
        <v>35749.99</v>
      </c>
      <c r="DO18" cm="1">
        <f t="array" ref="DO18">SUM(_xlfn._xlws.FILTER($CX$3:DA$499,($B$3:$B$499=$DJ$16)*($C$3:$C$499=$DK18)*($DF$3:$DF$499&lt;250000),""))</f>
        <v>35749.99</v>
      </c>
      <c r="DP18" cm="1">
        <f t="array" ref="DP18">SUM(_xlfn._xlws.FILTER($CX$3:DB$499,($B$3:$B$499=$DJ$16)*($C$3:$C$499=$DK18)*($DF$3:$DF$499&lt;250000),""))</f>
        <v>35749.99</v>
      </c>
      <c r="DQ18" cm="1">
        <f t="array" ref="DQ18">SUM(_xlfn._xlws.FILTER($CX$3:DC$499,($B$3:$B$499=$DJ$16)*($C$3:$C$499=$DK18)*($DF$3:$DF$499&lt;250000),""))</f>
        <v>35749.99</v>
      </c>
      <c r="DR18" cm="1">
        <f t="array" ref="DR18">SUM(_xlfn._xlws.FILTER($CX$3:DD$499,($B$3:$B$499=$DJ$16)*($C$3:$C$499=$DK18)*($DF$3:$DF$499&lt;250000),""))</f>
        <v>35749.99</v>
      </c>
      <c r="DS18" cm="1">
        <f t="array" ref="DS18">SUM(_xlfn._xlws.FILTER($CX$3:DE$499,($B$3:$B$499=$DJ$16)*($C$3:$C$499=$DK18)*($DF$3:$DF$499&lt;250000),""))</f>
        <v>35749.99</v>
      </c>
    </row>
    <row r="19" spans="1:123"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f t="shared" si="1"/>
        <v>0</v>
      </c>
      <c r="CY19">
        <f t="shared" si="2"/>
        <v>0</v>
      </c>
      <c r="CZ19">
        <f t="shared" si="3"/>
        <v>0</v>
      </c>
      <c r="DA19">
        <f t="shared" si="4"/>
        <v>0</v>
      </c>
      <c r="DB19">
        <f t="shared" si="5"/>
        <v>0</v>
      </c>
      <c r="DC19">
        <f t="shared" si="6"/>
        <v>528.97</v>
      </c>
      <c r="DD19">
        <f t="shared" si="7"/>
        <v>2706.3199999999997</v>
      </c>
      <c r="DE19">
        <f t="shared" si="8"/>
        <v>0</v>
      </c>
      <c r="DF19">
        <f t="shared" si="0"/>
        <v>3235.29</v>
      </c>
      <c r="DK19" s="87">
        <v>2019</v>
      </c>
      <c r="DL19" cm="1">
        <f t="array" ref="DL19">SUM(_xlfn._xlws.FILTER($CY$3:CY$499,($B$3:$B$499=$DJ$16)*($C$3:$C$499=$DK19)*($DF$3:$DF$499&lt;250000),""))</f>
        <v>61545.59</v>
      </c>
      <c r="DM19" cm="1">
        <f t="array" ref="DM19">SUM(_xlfn._xlws.FILTER($CY$3:CZ$499,($B$3:$B$499=$DJ$16)*($C$3:$C$499=$DK19)*($DF$3:$DF$499&lt;250000),""))</f>
        <v>95625.680000000022</v>
      </c>
      <c r="DN19" cm="1">
        <f t="array" ref="DN19">SUM(_xlfn._xlws.FILTER($CY$3:DA$499,($B$3:$B$499=$DJ$16)*($C$3:$C$499=$DK19)*($DF$3:$DF$499&lt;250000),""))</f>
        <v>95625.680000000022</v>
      </c>
      <c r="DO19" cm="1">
        <f t="array" ref="DO19">SUM(_xlfn._xlws.FILTER($CY$3:DB$499,($B$3:$B$499=$DJ$16)*($C$3:$C$499=$DK19)*($DF$3:$DF$499&lt;250000),""))</f>
        <v>95625.680000000022</v>
      </c>
      <c r="DP19" cm="1">
        <f t="array" ref="DP19">SUM(_xlfn._xlws.FILTER($CY$3:DC$499,($B$3:$B$499=$DJ$16)*($C$3:$C$499=$DK19)*($DF$3:$DF$499&lt;250000),""))</f>
        <v>95625.680000000022</v>
      </c>
      <c r="DQ19" cm="1">
        <f t="array" ref="DQ19">SUM(_xlfn._xlws.FILTER($CY$3:DD$499,($B$3:$B$499=$DJ$16)*($C$3:$C$499=$DK19)*($DF$3:$DF$499&lt;250000),""))</f>
        <v>95625.680000000022</v>
      </c>
      <c r="DR19" cm="1">
        <f t="array" ref="DR19">SUM(_xlfn._xlws.FILTER($CY$3:DE$499,($B$3:$B$499=$DJ$16)*($C$3:$C$499=$DK19)*($DF$3:$DF$499&lt;250000),""))</f>
        <v>95625.680000000022</v>
      </c>
    </row>
    <row r="20" spans="1:123"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f t="shared" si="1"/>
        <v>0</v>
      </c>
      <c r="CY20">
        <f t="shared" si="2"/>
        <v>0</v>
      </c>
      <c r="CZ20">
        <f t="shared" si="3"/>
        <v>0</v>
      </c>
      <c r="DA20">
        <f t="shared" si="4"/>
        <v>0</v>
      </c>
      <c r="DB20">
        <f t="shared" si="5"/>
        <v>2684.0200000000004</v>
      </c>
      <c r="DC20">
        <f t="shared" si="6"/>
        <v>0</v>
      </c>
      <c r="DD20">
        <f t="shared" si="7"/>
        <v>0</v>
      </c>
      <c r="DE20">
        <f t="shared" si="8"/>
        <v>0</v>
      </c>
      <c r="DF20">
        <f t="shared" si="0"/>
        <v>2684.0200000000004</v>
      </c>
      <c r="DK20" s="87">
        <v>2020</v>
      </c>
      <c r="DL20" cm="1">
        <f t="array" ref="DL20">SUM(_xlfn._xlws.FILTER($CZ$3:CZ$499,($B$3:$B$499=$DJ$16)*($C$3:$C$499=$DK20)*($DF$3:$DF$499&lt;250000),""))</f>
        <v>64692.740000000005</v>
      </c>
      <c r="DM20" cm="1">
        <f t="array" ref="DM20">SUM(_xlfn._xlws.FILTER($CZ$3:DA$499,($B$3:$B$499=$DJ$16)*($C$3:$C$499=$DK20)*($DF$3:$DF$499&lt;250000),""))</f>
        <v>88920.969999999987</v>
      </c>
      <c r="DN20" cm="1">
        <f t="array" ref="DN20">SUM(_xlfn._xlws.FILTER($CZ$3:DB$499,($B$3:$B$499=$DJ$16)*($C$3:$C$499=$DK20)*($DF$3:$DF$499&lt;250000),""))</f>
        <v>88920.969999999987</v>
      </c>
      <c r="DO20" cm="1">
        <f t="array" ref="DO20">SUM(_xlfn._xlws.FILTER($CZ$3:DC$499,($B$3:$B$499=$DJ$16)*($C$3:$C$499=$DK20)*($DF$3:$DF$499&lt;250000),""))</f>
        <v>88920.969999999987</v>
      </c>
      <c r="DP20" cm="1">
        <f t="array" ref="DP20">SUM(_xlfn._xlws.FILTER($CZ$3:DD$499,($B$3:$B$499=$DJ$16)*($C$3:$C$499=$DK20)*($DF$3:$DF$499&lt;250000),""))</f>
        <v>88920.969999999987</v>
      </c>
      <c r="DQ20" cm="1">
        <f t="array" ref="DQ20">SUM(_xlfn._xlws.FILTER($CZ$3:DE$499,($B$3:$B$499=$DJ$16)*($C$3:$C$499=$DK20)*($DF$3:$DF$499&lt;250000),""))</f>
        <v>88920.969999999987</v>
      </c>
    </row>
    <row r="21" spans="1:123"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f t="shared" si="1"/>
        <v>0</v>
      </c>
      <c r="CY21">
        <f t="shared" si="2"/>
        <v>0</v>
      </c>
      <c r="CZ21">
        <f t="shared" si="3"/>
        <v>0</v>
      </c>
      <c r="DA21">
        <f t="shared" si="4"/>
        <v>0</v>
      </c>
      <c r="DB21">
        <f t="shared" si="5"/>
        <v>1184.1300000000001</v>
      </c>
      <c r="DC21">
        <f t="shared" si="6"/>
        <v>278.97000000000003</v>
      </c>
      <c r="DD21">
        <f t="shared" si="7"/>
        <v>0</v>
      </c>
      <c r="DE21">
        <f t="shared" si="8"/>
        <v>0</v>
      </c>
      <c r="DF21">
        <f t="shared" si="0"/>
        <v>1463.1000000000001</v>
      </c>
      <c r="DJ21" t="s">
        <v>587</v>
      </c>
      <c r="DK21" s="87">
        <v>2021</v>
      </c>
      <c r="DL21" cm="1">
        <f t="array" ref="DL21">SUM(_xlfn._xlws.FILTER($DA$3:DA$499,($B$3:$B$499=$DJ$16)*($C$3:$C$499=$DK21)*($DF$3:$DF$499&lt;250000),""))</f>
        <v>72080.05</v>
      </c>
      <c r="DM21" cm="1">
        <f t="array" ref="DM21">SUM(_xlfn._xlws.FILTER($DA$3:DB$499,($B$3:$B$499=$DJ$16)*($C$3:$C$499=$DK21)*($DF$3:$DF$499&lt;250000),""))</f>
        <v>132370.56</v>
      </c>
      <c r="DN21" cm="1">
        <f t="array" ref="DN21">SUM(_xlfn._xlws.FILTER($DA$3:DC$499,($B$3:$B$499=$DJ$16)*($C$3:$C$499=$DK21)*($DF$3:$DF$499&lt;250000),""))</f>
        <v>134172.15</v>
      </c>
      <c r="DO21" cm="1">
        <f t="array" ref="DO21">SUM(_xlfn._xlws.FILTER($DA$3:DD$499,($B$3:$B$499=$DJ$16)*($C$3:$C$499=$DK21)*($DF$3:$DF$499&lt;250000),""))</f>
        <v>134172.15</v>
      </c>
      <c r="DP21" cm="1">
        <f t="array" ref="DP21">SUM(_xlfn._xlws.FILTER($DA$3:DE$499,($B$3:$B$499=$DJ$16)*($C$3:$C$499=$DK21)*($DF$3:$DF$499&lt;250000),""))</f>
        <v>134172.15</v>
      </c>
    </row>
    <row r="22" spans="1:123"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f t="shared" si="1"/>
        <v>0</v>
      </c>
      <c r="CY22">
        <f t="shared" si="2"/>
        <v>8405.94</v>
      </c>
      <c r="CZ22">
        <f t="shared" si="3"/>
        <v>0</v>
      </c>
      <c r="DA22">
        <f t="shared" si="4"/>
        <v>0</v>
      </c>
      <c r="DB22">
        <f t="shared" si="5"/>
        <v>0</v>
      </c>
      <c r="DC22">
        <f t="shared" si="6"/>
        <v>0</v>
      </c>
      <c r="DD22">
        <f t="shared" si="7"/>
        <v>0</v>
      </c>
      <c r="DE22">
        <f t="shared" si="8"/>
        <v>0</v>
      </c>
      <c r="DF22">
        <f t="shared" si="0"/>
        <v>8405.94</v>
      </c>
      <c r="DJ22" t="s">
        <v>588</v>
      </c>
      <c r="DK22" s="87">
        <v>2022</v>
      </c>
      <c r="DL22" cm="1">
        <f t="array" ref="DL22">SUM(_xlfn._xlws.FILTER($DB$3:DB$499,($B$3:$B$499=$DJ$16)*($C$3:$C$499=$DK22)*($DF$3:$DF$499&lt;250000),""))</f>
        <v>71267.800000000017</v>
      </c>
      <c r="DM22" cm="1">
        <f t="array" ref="DM22">SUM(_xlfn._xlws.FILTER($DB$3:DC$499,($B$3:$B$499=$DJ$16)*($C$3:$C$499=$DK22)*($DF$3:$DF$499&lt;250000),""))</f>
        <v>122293.96000000004</v>
      </c>
      <c r="DN22" cm="1">
        <f t="array" ref="DN22">SUM(_xlfn._xlws.FILTER($DB$3:DD$499,($B$3:$B$499=$DJ$16)*($C$3:$C$499=$DK22)*($DF$3:$DF$499&lt;250000),""))</f>
        <v>122293.96000000004</v>
      </c>
      <c r="DO22" cm="1">
        <f t="array" ref="DO22">SUM(_xlfn._xlws.FILTER($DB$3:DE$499,($B$3:$B$499=$DJ$16)*($C$3:$C$499=$DK22)*($DF$3:$DF$499&lt;250000),""))</f>
        <v>122293.96000000004</v>
      </c>
    </row>
    <row r="23" spans="1:123"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f t="shared" si="1"/>
        <v>0</v>
      </c>
      <c r="CY23">
        <f t="shared" si="2"/>
        <v>0</v>
      </c>
      <c r="CZ23">
        <f t="shared" si="3"/>
        <v>0</v>
      </c>
      <c r="DA23">
        <f t="shared" si="4"/>
        <v>0</v>
      </c>
      <c r="DB23">
        <f t="shared" si="5"/>
        <v>0</v>
      </c>
      <c r="DC23">
        <f t="shared" si="6"/>
        <v>0</v>
      </c>
      <c r="DD23">
        <f t="shared" si="7"/>
        <v>0</v>
      </c>
      <c r="DE23">
        <f t="shared" si="8"/>
        <v>1009.22</v>
      </c>
      <c r="DF23">
        <f t="shared" si="0"/>
        <v>1009.22</v>
      </c>
      <c r="DK23" s="87">
        <v>2023</v>
      </c>
      <c r="DL23" cm="1">
        <f t="array" ref="DL23">SUM(_xlfn._xlws.FILTER($DC$3:DC$499,($B$3:$B$499=$DJ$16)*($C$3:$C$499=$DK23)*($DF$3:$DF$499&lt;250000),""))</f>
        <v>110404.26000000001</v>
      </c>
      <c r="DM23" cm="1">
        <f t="array" ref="DM23">SUM(_xlfn._xlws.FILTER($DC$3:DD$499,($B$3:$B$499=$DJ$16)*($C$3:$C$499=$DK23)*($DF$3:$DF$499&lt;250000),""))</f>
        <v>163538.18999999997</v>
      </c>
      <c r="DN23" cm="1">
        <f t="array" ref="DN23">SUM(_xlfn._xlws.FILTER($DC$3:DE$499,($B$3:$B$499=$DJ$16)*($C$3:$C$499=$DK23)*($DF$3:$DF$499&lt;250000),""))</f>
        <v>165293.15999999995</v>
      </c>
    </row>
    <row r="24" spans="1:123"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f t="shared" si="1"/>
        <v>0</v>
      </c>
      <c r="CY24">
        <f t="shared" si="2"/>
        <v>0</v>
      </c>
      <c r="CZ24">
        <f t="shared" si="3"/>
        <v>0</v>
      </c>
      <c r="DA24">
        <f t="shared" si="4"/>
        <v>0</v>
      </c>
      <c r="DB24">
        <f t="shared" si="5"/>
        <v>0</v>
      </c>
      <c r="DC24">
        <f t="shared" si="6"/>
        <v>0</v>
      </c>
      <c r="DD24">
        <f t="shared" si="7"/>
        <v>0</v>
      </c>
      <c r="DE24">
        <f t="shared" si="8"/>
        <v>1804.76</v>
      </c>
      <c r="DF24">
        <f t="shared" si="0"/>
        <v>1804.76</v>
      </c>
      <c r="DK24" s="87">
        <v>2024</v>
      </c>
      <c r="DL24" cm="1">
        <f t="array" ref="DL24">SUM(_xlfn._xlws.FILTER($DD$3:DD$499,($B$3:$B$499=$DJ$16)*($C$3:$C$499=$DK24)*($DF$3:$DF$499&lt;250000),""))</f>
        <v>112595.13000000003</v>
      </c>
      <c r="DM24" cm="1">
        <f t="array" ref="DM24">SUM(_xlfn._xlws.FILTER($DD$3:DE$499,($B$3:$B$499=$DJ$16)*($C$3:$C$499=$DK24)*($DF$3:$DF$499&lt;250000),""))</f>
        <v>182005.26000000004</v>
      </c>
    </row>
    <row r="25" spans="1:123"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f t="shared" si="1"/>
        <v>7475.88</v>
      </c>
      <c r="CY25">
        <f t="shared" si="2"/>
        <v>749.86</v>
      </c>
      <c r="CZ25">
        <f t="shared" si="3"/>
        <v>0</v>
      </c>
      <c r="DA25">
        <f t="shared" si="4"/>
        <v>0</v>
      </c>
      <c r="DB25">
        <f t="shared" si="5"/>
        <v>0</v>
      </c>
      <c r="DC25">
        <f t="shared" si="6"/>
        <v>0</v>
      </c>
      <c r="DD25">
        <f t="shared" si="7"/>
        <v>0</v>
      </c>
      <c r="DE25">
        <f t="shared" si="8"/>
        <v>0</v>
      </c>
      <c r="DF25">
        <f t="shared" si="0"/>
        <v>8225.74</v>
      </c>
      <c r="DK25" s="87">
        <v>2025</v>
      </c>
      <c r="DL25" cm="1">
        <f t="array" ref="DL25">SUM(_xlfn._xlws.FILTER($DE$3:DE$499,($B$3:$B$499=$DJ$16)*($C$3:$C$499=$DK25)*($DF$3:$DF$499&lt;250000),""))</f>
        <v>86727.23</v>
      </c>
    </row>
    <row r="26" spans="1:123"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f t="shared" si="1"/>
        <v>0</v>
      </c>
      <c r="CY26">
        <f t="shared" si="2"/>
        <v>0</v>
      </c>
      <c r="CZ26">
        <f t="shared" si="3"/>
        <v>0</v>
      </c>
      <c r="DA26">
        <f t="shared" si="4"/>
        <v>2145.06</v>
      </c>
      <c r="DB26">
        <f t="shared" si="5"/>
        <v>3490.34</v>
      </c>
      <c r="DC26">
        <f t="shared" si="6"/>
        <v>510.18</v>
      </c>
      <c r="DD26">
        <f t="shared" si="7"/>
        <v>0</v>
      </c>
      <c r="DE26">
        <f t="shared" si="8"/>
        <v>0</v>
      </c>
      <c r="DF26">
        <f t="shared" si="0"/>
        <v>6145.58</v>
      </c>
    </row>
    <row r="27" spans="1:123"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f t="shared" si="1"/>
        <v>0</v>
      </c>
      <c r="CY27">
        <f t="shared" si="2"/>
        <v>0</v>
      </c>
      <c r="CZ27">
        <f t="shared" si="3"/>
        <v>0</v>
      </c>
      <c r="DA27">
        <f t="shared" si="4"/>
        <v>0</v>
      </c>
      <c r="DB27">
        <f t="shared" si="5"/>
        <v>0</v>
      </c>
      <c r="DC27">
        <f t="shared" si="6"/>
        <v>0</v>
      </c>
      <c r="DD27">
        <f t="shared" si="7"/>
        <v>0</v>
      </c>
      <c r="DE27">
        <f t="shared" si="8"/>
        <v>1033.53</v>
      </c>
      <c r="DF27">
        <f t="shared" si="0"/>
        <v>1033.53</v>
      </c>
    </row>
    <row r="28" spans="1:123"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f t="shared" si="1"/>
        <v>0</v>
      </c>
      <c r="CY28">
        <f t="shared" si="2"/>
        <v>0</v>
      </c>
      <c r="CZ28">
        <f t="shared" si="3"/>
        <v>0</v>
      </c>
      <c r="DA28">
        <f t="shared" si="4"/>
        <v>0</v>
      </c>
      <c r="DB28">
        <f t="shared" si="5"/>
        <v>0</v>
      </c>
      <c r="DC28">
        <f t="shared" si="6"/>
        <v>0</v>
      </c>
      <c r="DD28">
        <f t="shared" si="7"/>
        <v>0</v>
      </c>
      <c r="DE28">
        <f t="shared" si="8"/>
        <v>1536.21</v>
      </c>
      <c r="DF28">
        <f t="shared" si="0"/>
        <v>1536.21</v>
      </c>
      <c r="DJ28" s="87" t="s">
        <v>7</v>
      </c>
      <c r="DL28" t="s">
        <v>586</v>
      </c>
    </row>
    <row r="29" spans="1:123"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f t="shared" si="1"/>
        <v>0</v>
      </c>
      <c r="CY29">
        <f t="shared" si="2"/>
        <v>0</v>
      </c>
      <c r="CZ29">
        <f t="shared" si="3"/>
        <v>0</v>
      </c>
      <c r="DA29">
        <f t="shared" si="4"/>
        <v>0</v>
      </c>
      <c r="DB29">
        <f t="shared" si="5"/>
        <v>0</v>
      </c>
      <c r="DC29">
        <f t="shared" si="6"/>
        <v>14886.54</v>
      </c>
      <c r="DD29">
        <f t="shared" si="7"/>
        <v>0</v>
      </c>
      <c r="DE29">
        <f t="shared" si="8"/>
        <v>0</v>
      </c>
      <c r="DF29">
        <f t="shared" si="0"/>
        <v>14886.54</v>
      </c>
      <c r="DL29" t="s">
        <v>578</v>
      </c>
      <c r="DM29" t="s">
        <v>579</v>
      </c>
      <c r="DN29" t="s">
        <v>580</v>
      </c>
      <c r="DO29" t="s">
        <v>581</v>
      </c>
      <c r="DP29" t="s">
        <v>582</v>
      </c>
      <c r="DQ29" t="s">
        <v>583</v>
      </c>
      <c r="DR29" t="s">
        <v>584</v>
      </c>
      <c r="DS29" t="s">
        <v>585</v>
      </c>
    </row>
    <row r="30" spans="1:123"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f t="shared" si="1"/>
        <v>0</v>
      </c>
      <c r="CY30">
        <f t="shared" si="2"/>
        <v>0</v>
      </c>
      <c r="CZ30">
        <f t="shared" si="3"/>
        <v>0</v>
      </c>
      <c r="DA30">
        <f t="shared" si="4"/>
        <v>0</v>
      </c>
      <c r="DB30">
        <f t="shared" si="5"/>
        <v>0</v>
      </c>
      <c r="DC30">
        <f t="shared" si="6"/>
        <v>0</v>
      </c>
      <c r="DD30">
        <f t="shared" si="7"/>
        <v>0</v>
      </c>
      <c r="DE30">
        <f t="shared" si="8"/>
        <v>12723.42</v>
      </c>
      <c r="DF30">
        <f t="shared" si="0"/>
        <v>12723.42</v>
      </c>
      <c r="DK30" s="87">
        <v>2018</v>
      </c>
      <c r="DL30" cm="1">
        <f t="array" ref="DL30">SUM(_xlfn._xlws.FILTER(INDEX(yearly_total_payments,_xlfn.SEQUENCE(ROWS(yearly_total_payments)),MATCH(_xlfn.SEQUENCE(1,MATCH(DL$29,$DL$29:$DS$29),$DK30),$CX$1:$DE$1,0)),($B$3:$B$499=$DJ$16)*($C$3:$C$499=$DK30)*($DF$3:$DF$499&lt;250000),""))</f>
        <v>18750.690000000002</v>
      </c>
      <c r="DM30" cm="1">
        <f t="array" ref="DM30">SUM(_xlfn._xlws.FILTER(INDEX(yearly_total_payments,_xlfn.SEQUENCE(ROWS(yearly_total_payments)),MATCH(_xlfn.SEQUENCE(1,MATCH(DM$29,$DL$29:$DS$29),$DK30),$CX$1:$DE$1,0)),($B$3:$B$499=$DJ$16)*($C$3:$C$499=$DK30)*($DF$3:$DF$499&lt;250000),""))</f>
        <v>35749.99</v>
      </c>
      <c r="DN30" cm="1">
        <f t="array" ref="DN30">SUM(_xlfn._xlws.FILTER(INDEX(yearly_total_payments,_xlfn.SEQUENCE(ROWS(yearly_total_payments)),MATCH(_xlfn.SEQUENCE(1,MATCH(DN$29,$DL$29:$DS$29),$DK30),$CX$1:$DE$1,0)),($B$3:$B$499=$DJ$16)*($C$3:$C$499=$DK30)*($DF$3:$DF$499&lt;250000),""))</f>
        <v>35749.99</v>
      </c>
      <c r="DO30" cm="1">
        <f t="array" ref="DO30">SUM(_xlfn._xlws.FILTER(INDEX(yearly_total_payments,_xlfn.SEQUENCE(ROWS(yearly_total_payments)),MATCH(_xlfn.SEQUENCE(1,MATCH(DO$29,$DL$29:$DS$29),$DK30),$CX$1:$DE$1,0)),($B$3:$B$499=$DJ$16)*($C$3:$C$499=$DK30)*($DF$3:$DF$499&lt;250000),""))</f>
        <v>35749.99</v>
      </c>
      <c r="DP30" cm="1">
        <f t="array" ref="DP30">SUM(_xlfn._xlws.FILTER(INDEX(yearly_total_payments,_xlfn.SEQUENCE(ROWS(yearly_total_payments)),MATCH(_xlfn.SEQUENCE(1,MATCH(DP$29,$DL$29:$DS$29),$DK30),$CX$1:$DE$1,0)),($B$3:$B$499=$DJ$16)*($C$3:$C$499=$DK30)*($DF$3:$DF$499&lt;250000),""))</f>
        <v>35749.99</v>
      </c>
      <c r="DQ30" cm="1">
        <f t="array" ref="DQ30">SUM(_xlfn._xlws.FILTER(INDEX(yearly_total_payments,_xlfn.SEQUENCE(ROWS(yearly_total_payments)),MATCH(_xlfn.SEQUENCE(1,MATCH(DQ$29,$DL$29:$DS$29),$DK30),$CX$1:$DE$1,0)),($B$3:$B$499=$DJ$16)*($C$3:$C$499=$DK30)*($DF$3:$DF$499&lt;250000),""))</f>
        <v>35749.99</v>
      </c>
      <c r="DR30" cm="1">
        <f t="array" ref="DR30">SUM(_xlfn._xlws.FILTER(INDEX(yearly_total_payments,_xlfn.SEQUENCE(ROWS(yearly_total_payments)),MATCH(_xlfn.SEQUENCE(1,MATCH(DR$29,$DL$29:$DS$29),$DK30),$CX$1:$DE$1,0)),($B$3:$B$499=$DJ$16)*($C$3:$C$499=$DK30)*($DF$3:$DF$499&lt;250000),""))</f>
        <v>35749.99</v>
      </c>
      <c r="DS30" cm="1">
        <f t="array" ref="DS30">SUM(_xlfn._xlws.FILTER(INDEX(yearly_total_payments,_xlfn.SEQUENCE(ROWS(yearly_total_payments)),MATCH(_xlfn.SEQUENCE(1,MATCH(DS$29,$DL$29:$DS$29),$DK30),$CX$1:$DE$1,0)),($B$3:$B$499=$DJ$16)*($C$3:$C$499=$DK30)*($DF$3:$DF$499&lt;250000),""))</f>
        <v>35749.99</v>
      </c>
    </row>
    <row r="31" spans="1:123"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f t="shared" si="1"/>
        <v>0</v>
      </c>
      <c r="CY31">
        <f t="shared" si="2"/>
        <v>0</v>
      </c>
      <c r="CZ31">
        <f t="shared" si="3"/>
        <v>8157.8099999999995</v>
      </c>
      <c r="DA31">
        <f t="shared" si="4"/>
        <v>2903.23</v>
      </c>
      <c r="DB31">
        <f t="shared" si="5"/>
        <v>0</v>
      </c>
      <c r="DC31">
        <f t="shared" si="6"/>
        <v>0</v>
      </c>
      <c r="DD31">
        <f t="shared" si="7"/>
        <v>0</v>
      </c>
      <c r="DE31">
        <f t="shared" si="8"/>
        <v>0</v>
      </c>
      <c r="DF31">
        <f t="shared" si="0"/>
        <v>11061.039999999999</v>
      </c>
      <c r="DK31" s="87">
        <v>2019</v>
      </c>
      <c r="DL31" cm="1">
        <f t="array" ref="DL31">SUM(_xlfn._xlws.FILTER(INDEX(yearly_total_payments,_xlfn.SEQUENCE(ROWS(yearly_total_payments)),MATCH(_xlfn.SEQUENCE(1,MATCH(DL$29,$DL$29:$DS$29),$DK31),$CX$1:$DE$1,0)),($B$3:$B$499=$DJ$16)*($C$3:$C$499=$DK31)*($DF$3:$DF$499&lt;250000),""))</f>
        <v>61545.59</v>
      </c>
      <c r="DM31" cm="1">
        <f t="array" ref="DM31">SUM(_xlfn._xlws.FILTER(INDEX(yearly_total_payments,_xlfn.SEQUENCE(ROWS(yearly_total_payments)),MATCH(_xlfn.SEQUENCE(1,MATCH(DM$29,$DL$29:$DS$29),$DK31),$CX$1:$DE$1,0)),($B$3:$B$499=$DJ$16)*($C$3:$C$499=$DK31)*($DF$3:$DF$499&lt;250000),""))</f>
        <v>95625.680000000022</v>
      </c>
      <c r="DN31" cm="1">
        <f t="array" ref="DN31">SUM(_xlfn._xlws.FILTER(INDEX(yearly_total_payments,_xlfn.SEQUENCE(ROWS(yearly_total_payments)),MATCH(_xlfn.SEQUENCE(1,MATCH(DN$29,$DL$29:$DS$29),$DK31),$CX$1:$DE$1,0)),($B$3:$B$499=$DJ$16)*($C$3:$C$499=$DK31)*($DF$3:$DF$499&lt;250000),""))</f>
        <v>95625.680000000022</v>
      </c>
      <c r="DO31" cm="1">
        <f t="array" ref="DO31">SUM(_xlfn._xlws.FILTER(INDEX(yearly_total_payments,_xlfn.SEQUENCE(ROWS(yearly_total_payments)),MATCH(_xlfn.SEQUENCE(1,MATCH(DO$29,$DL$29:$DS$29),$DK31),$CX$1:$DE$1,0)),($B$3:$B$499=$DJ$16)*($C$3:$C$499=$DK31)*($DF$3:$DF$499&lt;250000),""))</f>
        <v>95625.680000000022</v>
      </c>
      <c r="DP31" cm="1">
        <f t="array" ref="DP31">SUM(_xlfn._xlws.FILTER(INDEX(yearly_total_payments,_xlfn.SEQUENCE(ROWS(yearly_total_payments)),MATCH(_xlfn.SEQUENCE(1,MATCH(DP$29,$DL$29:$DS$29),$DK31),$CX$1:$DE$1,0)),($B$3:$B$499=$DJ$16)*($C$3:$C$499=$DK31)*($DF$3:$DF$499&lt;250000),""))</f>
        <v>95625.680000000022</v>
      </c>
      <c r="DQ31" cm="1">
        <f t="array" ref="DQ31">SUM(_xlfn._xlws.FILTER(INDEX(yearly_total_payments,_xlfn.SEQUENCE(ROWS(yearly_total_payments)),MATCH(_xlfn.SEQUENCE(1,MATCH(DQ$29,$DL$29:$DS$29),$DK31),$CX$1:$DE$1,0)),($B$3:$B$499=$DJ$16)*($C$3:$C$499=$DK31)*($DF$3:$DF$499&lt;250000),""))</f>
        <v>95625.680000000022</v>
      </c>
      <c r="DR31" cm="1">
        <f t="array" ref="DR31">SUM(_xlfn._xlws.FILTER(INDEX(yearly_total_payments,_xlfn.SEQUENCE(ROWS(yearly_total_payments)),MATCH(_xlfn.SEQUENCE(1,MATCH(DR$29,$DL$29:$DS$29),$DK31),$CX$1:$DE$1,0)),($B$3:$B$499=$DJ$16)*($C$3:$C$499=$DK31)*($DF$3:$DF$499&lt;250000),""))</f>
        <v>95625.680000000022</v>
      </c>
    </row>
    <row r="32" spans="1:123"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f t="shared" si="1"/>
        <v>0</v>
      </c>
      <c r="CY32">
        <f t="shared" si="2"/>
        <v>0</v>
      </c>
      <c r="CZ32">
        <f t="shared" si="3"/>
        <v>0</v>
      </c>
      <c r="DA32">
        <f t="shared" si="4"/>
        <v>0</v>
      </c>
      <c r="DB32">
        <f t="shared" si="5"/>
        <v>0</v>
      </c>
      <c r="DC32">
        <f t="shared" si="6"/>
        <v>0</v>
      </c>
      <c r="DD32">
        <f t="shared" si="7"/>
        <v>623.87</v>
      </c>
      <c r="DE32">
        <f t="shared" si="8"/>
        <v>1745.73</v>
      </c>
      <c r="DF32">
        <f t="shared" si="0"/>
        <v>2369.6</v>
      </c>
      <c r="DK32" s="87">
        <v>2020</v>
      </c>
      <c r="DL32" cm="1">
        <f t="array" ref="DL32">SUM(_xlfn._xlws.FILTER(INDEX(yearly_total_payments,_xlfn.SEQUENCE(ROWS(yearly_total_payments)),MATCH(_xlfn.SEQUENCE(1,MATCH(DL$29,$DL$29:$DS$29),$DK32),$CX$1:$DE$1,0)),($B$3:$B$499=$DJ$16)*($C$3:$C$499=$DK32)*($DF$3:$DF$499&lt;250000),""))</f>
        <v>64692.740000000005</v>
      </c>
      <c r="DM32" cm="1">
        <f t="array" ref="DM32">SUM(_xlfn._xlws.FILTER(INDEX(yearly_total_payments,_xlfn.SEQUENCE(ROWS(yearly_total_payments)),MATCH(_xlfn.SEQUENCE(1,MATCH(DM$29,$DL$29:$DS$29),$DK32),$CX$1:$DE$1,0)),($B$3:$B$499=$DJ$16)*($C$3:$C$499=$DK32)*($DF$3:$DF$499&lt;250000),""))</f>
        <v>88920.969999999987</v>
      </c>
      <c r="DN32" cm="1">
        <f t="array" ref="DN32">SUM(_xlfn._xlws.FILTER(INDEX(yearly_total_payments,_xlfn.SEQUENCE(ROWS(yearly_total_payments)),MATCH(_xlfn.SEQUENCE(1,MATCH(DN$29,$DL$29:$DS$29),$DK32),$CX$1:$DE$1,0)),($B$3:$B$499=$DJ$16)*($C$3:$C$499=$DK32)*($DF$3:$DF$499&lt;250000),""))</f>
        <v>88920.969999999987</v>
      </c>
      <c r="DO32" cm="1">
        <f t="array" ref="DO32">SUM(_xlfn._xlws.FILTER(INDEX(yearly_total_payments,_xlfn.SEQUENCE(ROWS(yearly_total_payments)),MATCH(_xlfn.SEQUENCE(1,MATCH(DO$29,$DL$29:$DS$29),$DK32),$CX$1:$DE$1,0)),($B$3:$B$499=$DJ$16)*($C$3:$C$499=$DK32)*($DF$3:$DF$499&lt;250000),""))</f>
        <v>88920.969999999987</v>
      </c>
      <c r="DP32" cm="1">
        <f t="array" ref="DP32">SUM(_xlfn._xlws.FILTER(INDEX(yearly_total_payments,_xlfn.SEQUENCE(ROWS(yearly_total_payments)),MATCH(_xlfn.SEQUENCE(1,MATCH(DP$29,$DL$29:$DS$29),$DK32),$CX$1:$DE$1,0)),($B$3:$B$499=$DJ$16)*($C$3:$C$499=$DK32)*($DF$3:$DF$499&lt;250000),""))</f>
        <v>88920.969999999987</v>
      </c>
      <c r="DQ32" cm="1">
        <f t="array" ref="DQ32">SUM(_xlfn._xlws.FILTER(INDEX(yearly_total_payments,_xlfn.SEQUENCE(ROWS(yearly_total_payments)),MATCH(_xlfn.SEQUENCE(1,MATCH(DQ$29,$DL$29:$DS$29),$DK32),$CX$1:$DE$1,0)),($B$3:$B$499=$DJ$16)*($C$3:$C$499=$DK32)*($DF$3:$DF$499&lt;250000),""))</f>
        <v>88920.969999999987</v>
      </c>
    </row>
    <row r="33" spans="1:123"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f t="shared" si="1"/>
        <v>0</v>
      </c>
      <c r="CY33">
        <f t="shared" si="2"/>
        <v>0</v>
      </c>
      <c r="CZ33">
        <f t="shared" si="3"/>
        <v>0</v>
      </c>
      <c r="DA33">
        <f t="shared" si="4"/>
        <v>4336.05</v>
      </c>
      <c r="DB33">
        <f t="shared" si="5"/>
        <v>0</v>
      </c>
      <c r="DC33">
        <f t="shared" si="6"/>
        <v>0</v>
      </c>
      <c r="DD33">
        <f t="shared" si="7"/>
        <v>0</v>
      </c>
      <c r="DE33">
        <f t="shared" si="8"/>
        <v>0</v>
      </c>
      <c r="DF33">
        <f t="shared" si="0"/>
        <v>4336.05</v>
      </c>
      <c r="DJ33" t="s">
        <v>587</v>
      </c>
      <c r="DK33" s="87">
        <v>2021</v>
      </c>
      <c r="DL33" cm="1">
        <f t="array" ref="DL33">SUM(_xlfn._xlws.FILTER(INDEX(yearly_total_payments,_xlfn.SEQUENCE(ROWS(yearly_total_payments)),MATCH(_xlfn.SEQUENCE(1,MATCH(DL$29,$DL$29:$DS$29),$DK33),$CX$1:$DE$1,0)),($B$3:$B$499=$DJ$16)*($C$3:$C$499=$DK33)*($DF$3:$DF$499&lt;250000),""))</f>
        <v>72080.05</v>
      </c>
      <c r="DM33" cm="1">
        <f t="array" ref="DM33">SUM(_xlfn._xlws.FILTER(INDEX(yearly_total_payments,_xlfn.SEQUENCE(ROWS(yearly_total_payments)),MATCH(_xlfn.SEQUENCE(1,MATCH(DM$29,$DL$29:$DS$29),$DK33),$CX$1:$DE$1,0)),($B$3:$B$499=$DJ$16)*($C$3:$C$499=$DK33)*($DF$3:$DF$499&lt;250000),""))</f>
        <v>132370.56</v>
      </c>
      <c r="DN33" cm="1">
        <f t="array" ref="DN33">SUM(_xlfn._xlws.FILTER(INDEX(yearly_total_payments,_xlfn.SEQUENCE(ROWS(yearly_total_payments)),MATCH(_xlfn.SEQUENCE(1,MATCH(DN$29,$DL$29:$DS$29),$DK33),$CX$1:$DE$1,0)),($B$3:$B$499=$DJ$16)*($C$3:$C$499=$DK33)*($DF$3:$DF$499&lt;250000),""))</f>
        <v>134172.15</v>
      </c>
      <c r="DO33" cm="1">
        <f t="array" ref="DO33">SUM(_xlfn._xlws.FILTER(INDEX(yearly_total_payments,_xlfn.SEQUENCE(ROWS(yearly_total_payments)),MATCH(_xlfn.SEQUENCE(1,MATCH(DO$29,$DL$29:$DS$29),$DK33),$CX$1:$DE$1,0)),($B$3:$B$499=$DJ$16)*($C$3:$C$499=$DK33)*($DF$3:$DF$499&lt;250000),""))</f>
        <v>134172.15</v>
      </c>
      <c r="DP33" cm="1">
        <f t="array" ref="DP33">SUM(_xlfn._xlws.FILTER(INDEX(yearly_total_payments,_xlfn.SEQUENCE(ROWS(yearly_total_payments)),MATCH(_xlfn.SEQUENCE(1,MATCH(DP$29,$DL$29:$DS$29),$DK33),$CX$1:$DE$1,0)),($B$3:$B$499=$DJ$16)*($C$3:$C$499=$DK33)*($DF$3:$DF$499&lt;250000),""))</f>
        <v>134172.15</v>
      </c>
    </row>
    <row r="34" spans="1:123"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f t="shared" si="1"/>
        <v>0</v>
      </c>
      <c r="CY34">
        <f t="shared" si="2"/>
        <v>0</v>
      </c>
      <c r="CZ34">
        <f t="shared" si="3"/>
        <v>0</v>
      </c>
      <c r="DA34">
        <f t="shared" si="4"/>
        <v>0</v>
      </c>
      <c r="DB34">
        <f t="shared" si="5"/>
        <v>0</v>
      </c>
      <c r="DC34">
        <f t="shared" si="6"/>
        <v>8006.9800000000005</v>
      </c>
      <c r="DD34">
        <f t="shared" si="7"/>
        <v>0</v>
      </c>
      <c r="DE34">
        <f t="shared" si="8"/>
        <v>0</v>
      </c>
      <c r="DF34">
        <f t="shared" si="0"/>
        <v>8006.9800000000005</v>
      </c>
      <c r="DJ34" t="s">
        <v>588</v>
      </c>
      <c r="DK34" s="87">
        <v>2022</v>
      </c>
      <c r="DL34" cm="1">
        <f t="array" ref="DL34">SUM(_xlfn._xlws.FILTER(INDEX(yearly_total_payments,_xlfn.SEQUENCE(ROWS(yearly_total_payments)),MATCH(_xlfn.SEQUENCE(1,MATCH(DL$29,$DL$29:$DS$29),$DK34),$CX$1:$DE$1,0)),($B$3:$B$499=$DJ$16)*($C$3:$C$499=$DK34)*($DF$3:$DF$499&lt;250000),""))</f>
        <v>71267.800000000017</v>
      </c>
      <c r="DM34" cm="1">
        <f t="array" ref="DM34">SUM(_xlfn._xlws.FILTER(INDEX(yearly_total_payments,_xlfn.SEQUENCE(ROWS(yearly_total_payments)),MATCH(_xlfn.SEQUENCE(1,MATCH(DM$29,$DL$29:$DS$29),$DK34),$CX$1:$DE$1,0)),($B$3:$B$499=$DJ$16)*($C$3:$C$499=$DK34)*($DF$3:$DF$499&lt;250000),""))</f>
        <v>122293.96000000004</v>
      </c>
      <c r="DN34" cm="1">
        <f t="array" ref="DN34">SUM(_xlfn._xlws.FILTER(INDEX(yearly_total_payments,_xlfn.SEQUENCE(ROWS(yearly_total_payments)),MATCH(_xlfn.SEQUENCE(1,MATCH(DN$29,$DL$29:$DS$29),$DK34),$CX$1:$DE$1,0)),($B$3:$B$499=$DJ$16)*($C$3:$C$499=$DK34)*($DF$3:$DF$499&lt;250000),""))</f>
        <v>122293.96000000004</v>
      </c>
      <c r="DO34" cm="1">
        <f t="array" ref="DO34">SUM(_xlfn._xlws.FILTER(INDEX(yearly_total_payments,_xlfn.SEQUENCE(ROWS(yearly_total_payments)),MATCH(_xlfn.SEQUENCE(1,MATCH(DO$29,$DL$29:$DS$29),$DK34),$CX$1:$DE$1,0)),($B$3:$B$499=$DJ$16)*($C$3:$C$499=$DK34)*($DF$3:$DF$499&lt;250000),""))</f>
        <v>122293.96000000004</v>
      </c>
    </row>
    <row r="35" spans="1:123"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f t="shared" si="1"/>
        <v>0</v>
      </c>
      <c r="CY35">
        <f t="shared" si="2"/>
        <v>0</v>
      </c>
      <c r="CZ35">
        <f t="shared" si="3"/>
        <v>0</v>
      </c>
      <c r="DA35">
        <f t="shared" si="4"/>
        <v>0</v>
      </c>
      <c r="DB35">
        <f t="shared" si="5"/>
        <v>0</v>
      </c>
      <c r="DC35">
        <f t="shared" si="6"/>
        <v>0</v>
      </c>
      <c r="DD35">
        <f t="shared" si="7"/>
        <v>5894.31</v>
      </c>
      <c r="DE35">
        <f t="shared" si="8"/>
        <v>0</v>
      </c>
      <c r="DF35">
        <f t="shared" si="0"/>
        <v>5894.31</v>
      </c>
      <c r="DK35" s="87">
        <v>2023</v>
      </c>
      <c r="DL35" cm="1">
        <f t="array" ref="DL35">SUM(_xlfn._xlws.FILTER(INDEX(yearly_total_payments,_xlfn.SEQUENCE(ROWS(yearly_total_payments)),MATCH(_xlfn.SEQUENCE(1,MATCH(DL$29,$DL$29:$DS$29),$DK35),DK30:DK37,0)),(claim_type=$DJ$16)*(accident_year=$DK35)*(total_claim_payment&lt;250000),""))</f>
        <v>110404.26000000001</v>
      </c>
      <c r="DM35" cm="1">
        <f t="array" ref="DM35">SUM(_xlfn._xlws.FILTER(INDEX(yearly_total_payments,_xlfn.SEQUENCE(ROWS(yearly_total_payments)),MATCH(_xlfn.SEQUENCE(1,MATCH(DM$29,$DL$29:$DS$29),$DK35),$CX$1:$DE$1,0)),($B$3:$B$499=$DJ$16)*($C$3:$C$499=$DK35)*($DF$3:$DF$499&lt;250000),""))</f>
        <v>163538.18999999997</v>
      </c>
      <c r="DN35" cm="1">
        <f t="array" ref="DN35">SUM(_xlfn._xlws.FILTER(INDEX(yearly_total_payments,_xlfn.SEQUENCE(ROWS(yearly_total_payments)),MATCH(_xlfn.SEQUENCE(1,MATCH(DN$29,$DL$29:$DS$29),$DK35),$CX$1:$DE$1,0)),($B$3:$B$499=$DJ$16)*($C$3:$C$499=$DK35)*($DF$3:$DF$499&lt;250000),""))</f>
        <v>165293.15999999995</v>
      </c>
    </row>
    <row r="36" spans="1:123"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f t="shared" si="1"/>
        <v>0</v>
      </c>
      <c r="CY36">
        <f t="shared" si="2"/>
        <v>5727.47</v>
      </c>
      <c r="CZ36">
        <f t="shared" si="3"/>
        <v>0</v>
      </c>
      <c r="DA36">
        <f t="shared" si="4"/>
        <v>0</v>
      </c>
      <c r="DB36">
        <f t="shared" si="5"/>
        <v>0</v>
      </c>
      <c r="DC36">
        <f t="shared" si="6"/>
        <v>0</v>
      </c>
      <c r="DD36">
        <f t="shared" si="7"/>
        <v>0</v>
      </c>
      <c r="DE36">
        <f t="shared" si="8"/>
        <v>0</v>
      </c>
      <c r="DF36">
        <f t="shared" si="0"/>
        <v>5727.47</v>
      </c>
      <c r="DK36" s="87">
        <v>2024</v>
      </c>
      <c r="DL36" cm="1">
        <f t="array" ref="DL36">SUM(_xlfn._xlws.FILTER(INDEX(yearly_total_payments,_xlfn.SEQUENCE(ROWS(yearly_total_payments)),MATCH(_xlfn.SEQUENCE(1,MATCH(DL$29,$DL$29:$DS$29),$DK36),$CX$1:$DE$1,0)),($B$3:$B$499=$DJ$16)*($C$3:$C$499=$DK36)*($DF$3:$DF$499&lt;250000),""))</f>
        <v>112595.13000000003</v>
      </c>
      <c r="DM36" cm="1">
        <f t="array" ref="DM36">SUM(_xlfn._xlws.FILTER(INDEX(yearly_total_payments,_xlfn.SEQUENCE(ROWS(yearly_total_payments)),MATCH(_xlfn.SEQUENCE(1,MATCH(DM$29,$DL$29:$DS$29),$DK36),$CX$1:$DE$1,0)),($B$3:$B$499=$DJ$16)*($C$3:$C$499=$DK36)*($DF$3:$DF$499&lt;250000),""))</f>
        <v>182005.26000000004</v>
      </c>
    </row>
    <row r="37" spans="1:123"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f t="shared" si="1"/>
        <v>0</v>
      </c>
      <c r="CY37">
        <f t="shared" si="2"/>
        <v>0</v>
      </c>
      <c r="CZ37">
        <f t="shared" si="3"/>
        <v>0</v>
      </c>
      <c r="DA37">
        <f t="shared" si="4"/>
        <v>0</v>
      </c>
      <c r="DB37">
        <f t="shared" si="5"/>
        <v>0</v>
      </c>
      <c r="DC37">
        <f t="shared" si="6"/>
        <v>0</v>
      </c>
      <c r="DD37">
        <f t="shared" si="7"/>
        <v>0</v>
      </c>
      <c r="DE37">
        <f t="shared" si="8"/>
        <v>6448.75</v>
      </c>
      <c r="DF37">
        <f t="shared" si="0"/>
        <v>6448.75</v>
      </c>
      <c r="DK37" s="87">
        <v>2025</v>
      </c>
      <c r="DL37" cm="1">
        <f t="array" ref="DL37">SUM(_xlfn._xlws.FILTER(INDEX(yearly_total_payments,_xlfn.SEQUENCE(ROWS(yearly_total_payments)),MATCH(_xlfn.SEQUENCE(1,MATCH(DL$29,$DL$29:$DS$29),$DK37),$CX$1:$DE$1,0)),($B$3:$B$499=$DJ$16)*($C$3:$C$499=$DK37)*($DF$3:$DF$499&lt;250000),""))</f>
        <v>86727.23</v>
      </c>
    </row>
    <row r="38" spans="1:123"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f t="shared" si="1"/>
        <v>0</v>
      </c>
      <c r="CY38">
        <f t="shared" si="2"/>
        <v>0</v>
      </c>
      <c r="CZ38">
        <f t="shared" si="3"/>
        <v>0</v>
      </c>
      <c r="DA38">
        <f t="shared" si="4"/>
        <v>0</v>
      </c>
      <c r="DB38">
        <f t="shared" si="5"/>
        <v>9124.7999999999993</v>
      </c>
      <c r="DC38">
        <f t="shared" si="6"/>
        <v>0</v>
      </c>
      <c r="DD38">
        <f t="shared" si="7"/>
        <v>0</v>
      </c>
      <c r="DE38">
        <f t="shared" si="8"/>
        <v>0</v>
      </c>
      <c r="DF38">
        <f t="shared" si="0"/>
        <v>9124.7999999999993</v>
      </c>
    </row>
    <row r="39" spans="1:123"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f t="shared" si="1"/>
        <v>0</v>
      </c>
      <c r="CY39">
        <f t="shared" si="2"/>
        <v>0</v>
      </c>
      <c r="CZ39">
        <f t="shared" si="3"/>
        <v>0</v>
      </c>
      <c r="DA39">
        <f t="shared" si="4"/>
        <v>0</v>
      </c>
      <c r="DB39">
        <f t="shared" si="5"/>
        <v>0</v>
      </c>
      <c r="DC39">
        <f t="shared" si="6"/>
        <v>0</v>
      </c>
      <c r="DD39">
        <f t="shared" si="7"/>
        <v>5120.18</v>
      </c>
      <c r="DE39">
        <f t="shared" si="8"/>
        <v>8299.36</v>
      </c>
      <c r="DF39">
        <f t="shared" si="0"/>
        <v>13419.54</v>
      </c>
      <c r="DL39" t="s">
        <v>592</v>
      </c>
      <c r="DM39">
        <f t="shared" ref="DM39:DM45" si="14">DM30/DL30</f>
        <v>1.9065959706016149</v>
      </c>
      <c r="DN39">
        <f t="shared" ref="DN39:DS39" si="15">DN30/DM30</f>
        <v>1</v>
      </c>
      <c r="DO39">
        <f t="shared" si="15"/>
        <v>1</v>
      </c>
      <c r="DP39">
        <f t="shared" si="15"/>
        <v>1</v>
      </c>
      <c r="DQ39">
        <f t="shared" si="15"/>
        <v>1</v>
      </c>
      <c r="DR39">
        <f t="shared" si="15"/>
        <v>1</v>
      </c>
      <c r="DS39">
        <f t="shared" si="15"/>
        <v>1</v>
      </c>
    </row>
    <row r="40" spans="1:123"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f t="shared" si="1"/>
        <v>0</v>
      </c>
      <c r="CY40">
        <f t="shared" si="2"/>
        <v>0</v>
      </c>
      <c r="CZ40">
        <f t="shared" si="3"/>
        <v>0</v>
      </c>
      <c r="DA40">
        <f t="shared" si="4"/>
        <v>0</v>
      </c>
      <c r="DB40">
        <f t="shared" si="5"/>
        <v>0</v>
      </c>
      <c r="DC40">
        <f t="shared" si="6"/>
        <v>1034.0999999999999</v>
      </c>
      <c r="DD40">
        <f t="shared" si="7"/>
        <v>9006.5499999999993</v>
      </c>
      <c r="DE40">
        <f t="shared" si="8"/>
        <v>4409.6400000000003</v>
      </c>
      <c r="DF40">
        <f t="shared" si="0"/>
        <v>14450.29</v>
      </c>
      <c r="DM40">
        <f t="shared" si="14"/>
        <v>1.5537373189533161</v>
      </c>
      <c r="DN40">
        <f t="shared" ref="DN40:DR40" si="16">DN31/DM31</f>
        <v>1</v>
      </c>
      <c r="DO40">
        <f t="shared" si="16"/>
        <v>1</v>
      </c>
      <c r="DP40">
        <f t="shared" si="16"/>
        <v>1</v>
      </c>
      <c r="DQ40">
        <f t="shared" si="16"/>
        <v>1</v>
      </c>
      <c r="DR40">
        <f t="shared" si="16"/>
        <v>1</v>
      </c>
    </row>
    <row r="41" spans="1:123"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f t="shared" si="1"/>
        <v>0</v>
      </c>
      <c r="CY41">
        <f t="shared" si="2"/>
        <v>0</v>
      </c>
      <c r="CZ41">
        <f t="shared" si="3"/>
        <v>0</v>
      </c>
      <c r="DA41">
        <f t="shared" si="4"/>
        <v>0</v>
      </c>
      <c r="DB41">
        <f t="shared" si="5"/>
        <v>0</v>
      </c>
      <c r="DC41">
        <f t="shared" si="6"/>
        <v>2955.76</v>
      </c>
      <c r="DD41">
        <f t="shared" si="7"/>
        <v>0</v>
      </c>
      <c r="DE41">
        <f t="shared" si="8"/>
        <v>0</v>
      </c>
      <c r="DF41">
        <f t="shared" si="0"/>
        <v>2955.76</v>
      </c>
      <c r="DM41">
        <f t="shared" si="14"/>
        <v>1.3745123486808564</v>
      </c>
      <c r="DN41">
        <f t="shared" ref="DN41:DP41" si="17">DN32/DM32</f>
        <v>1</v>
      </c>
      <c r="DO41">
        <f t="shared" si="17"/>
        <v>1</v>
      </c>
      <c r="DP41">
        <f t="shared" si="17"/>
        <v>1</v>
      </c>
      <c r="DQ41">
        <f>DQ32/DP32</f>
        <v>1</v>
      </c>
    </row>
    <row r="42" spans="1:123"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f t="shared" si="1"/>
        <v>0</v>
      </c>
      <c r="CY42">
        <f t="shared" si="2"/>
        <v>0</v>
      </c>
      <c r="CZ42">
        <f t="shared" si="3"/>
        <v>0</v>
      </c>
      <c r="DA42">
        <f t="shared" si="4"/>
        <v>3930.94</v>
      </c>
      <c r="DB42">
        <f t="shared" si="5"/>
        <v>0</v>
      </c>
      <c r="DC42">
        <f t="shared" si="6"/>
        <v>0</v>
      </c>
      <c r="DD42">
        <f t="shared" si="7"/>
        <v>0</v>
      </c>
      <c r="DE42">
        <f t="shared" si="8"/>
        <v>0</v>
      </c>
      <c r="DF42">
        <f t="shared" si="0"/>
        <v>3930.94</v>
      </c>
      <c r="DM42">
        <f t="shared" si="14"/>
        <v>1.8364382377648183</v>
      </c>
      <c r="DN42">
        <f t="shared" ref="DN42:DO42" si="18">DN33/DM33</f>
        <v>1.0136102015433039</v>
      </c>
      <c r="DO42">
        <f t="shared" si="18"/>
        <v>1</v>
      </c>
      <c r="DP42">
        <f>DP33/DO33</f>
        <v>1</v>
      </c>
    </row>
    <row r="43" spans="1:123"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f t="shared" si="1"/>
        <v>0</v>
      </c>
      <c r="CY43">
        <f t="shared" si="2"/>
        <v>0</v>
      </c>
      <c r="CZ43">
        <f t="shared" si="3"/>
        <v>0</v>
      </c>
      <c r="DA43">
        <f t="shared" si="4"/>
        <v>0</v>
      </c>
      <c r="DB43">
        <f t="shared" si="5"/>
        <v>9729.61</v>
      </c>
      <c r="DC43">
        <f t="shared" si="6"/>
        <v>4599.6099999999997</v>
      </c>
      <c r="DD43">
        <f t="shared" si="7"/>
        <v>386.66</v>
      </c>
      <c r="DE43">
        <f t="shared" si="8"/>
        <v>0</v>
      </c>
      <c r="DF43">
        <f t="shared" si="0"/>
        <v>14715.880000000001</v>
      </c>
      <c r="DM43">
        <f t="shared" si="14"/>
        <v>1.7159777627483941</v>
      </c>
      <c r="DN43">
        <f t="shared" ref="DN43:DO43" si="19">DN34/DM34</f>
        <v>1</v>
      </c>
      <c r="DO43">
        <f t="shared" si="19"/>
        <v>1</v>
      </c>
    </row>
    <row r="44" spans="1:123"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f t="shared" si="1"/>
        <v>0</v>
      </c>
      <c r="CY44">
        <f t="shared" si="2"/>
        <v>2285.81</v>
      </c>
      <c r="CZ44">
        <f t="shared" si="3"/>
        <v>0</v>
      </c>
      <c r="DA44">
        <f t="shared" si="4"/>
        <v>0</v>
      </c>
      <c r="DB44">
        <f t="shared" si="5"/>
        <v>0</v>
      </c>
      <c r="DC44">
        <f t="shared" si="6"/>
        <v>0</v>
      </c>
      <c r="DD44">
        <f t="shared" si="7"/>
        <v>0</v>
      </c>
      <c r="DE44">
        <f t="shared" si="8"/>
        <v>0</v>
      </c>
      <c r="DF44">
        <f t="shared" si="0"/>
        <v>2285.81</v>
      </c>
      <c r="DM44">
        <f t="shared" si="14"/>
        <v>1.4812670271962327</v>
      </c>
      <c r="DN44">
        <f>DN35/DM35</f>
        <v>1.0107312548830336</v>
      </c>
    </row>
    <row r="45" spans="1:123"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f t="shared" si="1"/>
        <v>0</v>
      </c>
      <c r="CY45">
        <f t="shared" si="2"/>
        <v>0</v>
      </c>
      <c r="CZ45">
        <f t="shared" si="3"/>
        <v>0</v>
      </c>
      <c r="DA45">
        <f t="shared" si="4"/>
        <v>0</v>
      </c>
      <c r="DB45">
        <f t="shared" si="5"/>
        <v>1936.05</v>
      </c>
      <c r="DC45">
        <f t="shared" si="6"/>
        <v>10062.619999999999</v>
      </c>
      <c r="DD45">
        <f t="shared" si="7"/>
        <v>0</v>
      </c>
      <c r="DE45">
        <f t="shared" si="8"/>
        <v>0</v>
      </c>
      <c r="DF45">
        <f t="shared" si="0"/>
        <v>11998.67</v>
      </c>
      <c r="DM45">
        <f t="shared" si="14"/>
        <v>1.6164576567387949</v>
      </c>
    </row>
    <row r="46" spans="1:123"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f t="shared" si="1"/>
        <v>0</v>
      </c>
      <c r="CY46">
        <f t="shared" si="2"/>
        <v>0</v>
      </c>
      <c r="CZ46">
        <f t="shared" si="3"/>
        <v>0</v>
      </c>
      <c r="DA46">
        <f t="shared" si="4"/>
        <v>0</v>
      </c>
      <c r="DB46">
        <f t="shared" si="5"/>
        <v>0</v>
      </c>
      <c r="DC46">
        <f t="shared" si="6"/>
        <v>0</v>
      </c>
      <c r="DD46">
        <f t="shared" si="7"/>
        <v>2035.5</v>
      </c>
      <c r="DE46">
        <f t="shared" si="8"/>
        <v>7045.85</v>
      </c>
      <c r="DF46">
        <f t="shared" si="0"/>
        <v>9081.35</v>
      </c>
    </row>
    <row r="47" spans="1:123"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f t="shared" si="1"/>
        <v>0</v>
      </c>
      <c r="CY47">
        <f t="shared" si="2"/>
        <v>0</v>
      </c>
      <c r="CZ47">
        <f t="shared" si="3"/>
        <v>0</v>
      </c>
      <c r="DA47">
        <f t="shared" si="4"/>
        <v>0</v>
      </c>
      <c r="DB47">
        <f t="shared" si="5"/>
        <v>0</v>
      </c>
      <c r="DC47">
        <f t="shared" si="6"/>
        <v>12123.41</v>
      </c>
      <c r="DD47">
        <f t="shared" si="7"/>
        <v>0</v>
      </c>
      <c r="DE47">
        <f t="shared" si="8"/>
        <v>0</v>
      </c>
      <c r="DF47">
        <f t="shared" si="0"/>
        <v>12123.41</v>
      </c>
      <c r="DM47">
        <f>AVERAGE(DM39:DM45)</f>
        <v>1.6407123318120043</v>
      </c>
      <c r="DN47">
        <f>AVERAGE(DN39:DN44)</f>
        <v>1.0040569094043896</v>
      </c>
      <c r="DO47">
        <f>AVERAGE(DO39:DO43)</f>
        <v>1</v>
      </c>
      <c r="DP47">
        <f>AVERAGE(DP39:DP42)</f>
        <v>1</v>
      </c>
      <c r="DQ47">
        <f>AVERAGE(DQ39:DQ41)</f>
        <v>1</v>
      </c>
      <c r="DR47">
        <f>AVERAGE(DR39:DR40)</f>
        <v>1</v>
      </c>
      <c r="DS47">
        <f>AVERAGE(DS39)</f>
        <v>1</v>
      </c>
    </row>
    <row r="48" spans="1:123"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f t="shared" si="1"/>
        <v>0</v>
      </c>
      <c r="CY48">
        <f t="shared" si="2"/>
        <v>0</v>
      </c>
      <c r="CZ48">
        <f t="shared" si="3"/>
        <v>525.66000000000008</v>
      </c>
      <c r="DA48">
        <f t="shared" si="4"/>
        <v>1485.9</v>
      </c>
      <c r="DB48">
        <f t="shared" si="5"/>
        <v>686.55</v>
      </c>
      <c r="DC48">
        <f t="shared" si="6"/>
        <v>0</v>
      </c>
      <c r="DD48">
        <f t="shared" si="7"/>
        <v>0</v>
      </c>
      <c r="DE48">
        <f t="shared" si="8"/>
        <v>0</v>
      </c>
      <c r="DF48">
        <f t="shared" si="0"/>
        <v>2698.1099999999997</v>
      </c>
    </row>
    <row r="49" spans="1:110"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f t="shared" si="1"/>
        <v>0</v>
      </c>
      <c r="CY49">
        <f t="shared" si="2"/>
        <v>0</v>
      </c>
      <c r="CZ49">
        <f t="shared" si="3"/>
        <v>0</v>
      </c>
      <c r="DA49">
        <f t="shared" si="4"/>
        <v>0</v>
      </c>
      <c r="DB49">
        <f t="shared" si="5"/>
        <v>0</v>
      </c>
      <c r="DC49">
        <f t="shared" si="6"/>
        <v>204.44</v>
      </c>
      <c r="DD49">
        <f t="shared" si="7"/>
        <v>879.90000000000009</v>
      </c>
      <c r="DE49">
        <f t="shared" si="8"/>
        <v>732.67</v>
      </c>
      <c r="DF49">
        <f t="shared" si="0"/>
        <v>1817.0099999999998</v>
      </c>
    </row>
    <row r="50" spans="1:110"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f t="shared" si="1"/>
        <v>0</v>
      </c>
      <c r="CY50">
        <f t="shared" si="2"/>
        <v>7836.54</v>
      </c>
      <c r="CZ50">
        <f t="shared" si="3"/>
        <v>983.83</v>
      </c>
      <c r="DA50">
        <f t="shared" si="4"/>
        <v>0</v>
      </c>
      <c r="DB50">
        <f t="shared" si="5"/>
        <v>0</v>
      </c>
      <c r="DC50">
        <f t="shared" si="6"/>
        <v>0</v>
      </c>
      <c r="DD50">
        <f t="shared" si="7"/>
        <v>0</v>
      </c>
      <c r="DE50">
        <f t="shared" si="8"/>
        <v>0</v>
      </c>
      <c r="DF50">
        <f t="shared" si="0"/>
        <v>8820.3700000000008</v>
      </c>
    </row>
    <row r="51" spans="1:110"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f t="shared" si="1"/>
        <v>0</v>
      </c>
      <c r="CY51">
        <f t="shared" si="2"/>
        <v>0</v>
      </c>
      <c r="CZ51">
        <f t="shared" si="3"/>
        <v>0</v>
      </c>
      <c r="DA51">
        <f t="shared" si="4"/>
        <v>0</v>
      </c>
      <c r="DB51">
        <f t="shared" si="5"/>
        <v>0</v>
      </c>
      <c r="DC51">
        <f t="shared" si="6"/>
        <v>11357.45</v>
      </c>
      <c r="DD51">
        <f t="shared" si="7"/>
        <v>9513.66</v>
      </c>
      <c r="DE51">
        <f t="shared" si="8"/>
        <v>1747.78</v>
      </c>
      <c r="DF51">
        <f t="shared" si="0"/>
        <v>22618.89</v>
      </c>
    </row>
    <row r="52" spans="1:110"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f t="shared" si="1"/>
        <v>0</v>
      </c>
      <c r="CY52">
        <f t="shared" si="2"/>
        <v>0</v>
      </c>
      <c r="CZ52">
        <f t="shared" si="3"/>
        <v>0</v>
      </c>
      <c r="DA52">
        <f t="shared" si="4"/>
        <v>7168.03</v>
      </c>
      <c r="DB52">
        <f t="shared" si="5"/>
        <v>0</v>
      </c>
      <c r="DC52">
        <f t="shared" si="6"/>
        <v>0</v>
      </c>
      <c r="DD52">
        <f t="shared" si="7"/>
        <v>0</v>
      </c>
      <c r="DE52">
        <f t="shared" si="8"/>
        <v>0</v>
      </c>
      <c r="DF52">
        <f t="shared" si="0"/>
        <v>7168.03</v>
      </c>
    </row>
    <row r="53" spans="1:110"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f t="shared" si="1"/>
        <v>0</v>
      </c>
      <c r="CY53">
        <f t="shared" si="2"/>
        <v>0</v>
      </c>
      <c r="CZ53">
        <f t="shared" si="3"/>
        <v>0</v>
      </c>
      <c r="DA53">
        <f t="shared" si="4"/>
        <v>0</v>
      </c>
      <c r="DB53">
        <f t="shared" si="5"/>
        <v>0</v>
      </c>
      <c r="DC53">
        <f t="shared" si="6"/>
        <v>1487.14</v>
      </c>
      <c r="DD53">
        <f t="shared" si="7"/>
        <v>8950.0400000000009</v>
      </c>
      <c r="DE53">
        <f t="shared" si="8"/>
        <v>0</v>
      </c>
      <c r="DF53">
        <f t="shared" si="0"/>
        <v>10437.18</v>
      </c>
    </row>
    <row r="54" spans="1:110"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f t="shared" si="1"/>
        <v>0</v>
      </c>
      <c r="CY54">
        <f t="shared" si="2"/>
        <v>0</v>
      </c>
      <c r="CZ54">
        <f t="shared" si="3"/>
        <v>8980.59</v>
      </c>
      <c r="DA54">
        <f t="shared" si="4"/>
        <v>1017.52</v>
      </c>
      <c r="DB54">
        <f t="shared" si="5"/>
        <v>0</v>
      </c>
      <c r="DC54">
        <f t="shared" si="6"/>
        <v>0</v>
      </c>
      <c r="DD54">
        <f t="shared" si="7"/>
        <v>0</v>
      </c>
      <c r="DE54">
        <f t="shared" si="8"/>
        <v>0</v>
      </c>
      <c r="DF54">
        <f t="shared" si="0"/>
        <v>9998.11</v>
      </c>
    </row>
    <row r="55" spans="1:110"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f t="shared" si="1"/>
        <v>0</v>
      </c>
      <c r="CY55">
        <f t="shared" si="2"/>
        <v>0</v>
      </c>
      <c r="CZ55">
        <f t="shared" si="3"/>
        <v>0</v>
      </c>
      <c r="DA55">
        <f t="shared" si="4"/>
        <v>801.14</v>
      </c>
      <c r="DB55">
        <f t="shared" si="5"/>
        <v>0</v>
      </c>
      <c r="DC55">
        <f t="shared" si="6"/>
        <v>0</v>
      </c>
      <c r="DD55">
        <f t="shared" si="7"/>
        <v>0</v>
      </c>
      <c r="DE55">
        <f t="shared" si="8"/>
        <v>0</v>
      </c>
      <c r="DF55">
        <f t="shared" si="0"/>
        <v>801.14</v>
      </c>
    </row>
    <row r="56" spans="1:110"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f t="shared" si="1"/>
        <v>0</v>
      </c>
      <c r="CY56">
        <f t="shared" si="2"/>
        <v>0</v>
      </c>
      <c r="CZ56">
        <f t="shared" si="3"/>
        <v>0</v>
      </c>
      <c r="DA56">
        <f t="shared" si="4"/>
        <v>2406.63</v>
      </c>
      <c r="DB56">
        <f t="shared" si="5"/>
        <v>10352.259999999998</v>
      </c>
      <c r="DC56">
        <f t="shared" si="6"/>
        <v>0</v>
      </c>
      <c r="DD56">
        <f t="shared" si="7"/>
        <v>0</v>
      </c>
      <c r="DE56">
        <f t="shared" si="8"/>
        <v>0</v>
      </c>
      <c r="DF56">
        <f t="shared" si="0"/>
        <v>12758.89</v>
      </c>
    </row>
    <row r="57" spans="1:110"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f t="shared" si="1"/>
        <v>0</v>
      </c>
      <c r="CY57">
        <f t="shared" si="2"/>
        <v>0</v>
      </c>
      <c r="CZ57">
        <f t="shared" si="3"/>
        <v>0</v>
      </c>
      <c r="DA57">
        <f t="shared" si="4"/>
        <v>0</v>
      </c>
      <c r="DB57">
        <f t="shared" si="5"/>
        <v>0</v>
      </c>
      <c r="DC57">
        <f t="shared" si="6"/>
        <v>4085.9700000000003</v>
      </c>
      <c r="DD57">
        <f t="shared" si="7"/>
        <v>8053.26</v>
      </c>
      <c r="DE57">
        <f t="shared" si="8"/>
        <v>533.46</v>
      </c>
      <c r="DF57">
        <f t="shared" si="0"/>
        <v>12672.690000000002</v>
      </c>
    </row>
    <row r="58" spans="1:110"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f t="shared" si="1"/>
        <v>0</v>
      </c>
      <c r="CY58">
        <f t="shared" si="2"/>
        <v>951.13000000000011</v>
      </c>
      <c r="CZ58">
        <f t="shared" si="3"/>
        <v>794.03</v>
      </c>
      <c r="DA58">
        <f t="shared" si="4"/>
        <v>0</v>
      </c>
      <c r="DB58">
        <f t="shared" si="5"/>
        <v>0</v>
      </c>
      <c r="DC58">
        <f t="shared" si="6"/>
        <v>0</v>
      </c>
      <c r="DD58">
        <f t="shared" si="7"/>
        <v>0</v>
      </c>
      <c r="DE58">
        <f t="shared" si="8"/>
        <v>0</v>
      </c>
      <c r="DF58">
        <f t="shared" si="0"/>
        <v>1745.16</v>
      </c>
    </row>
    <row r="59" spans="1:110"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f t="shared" si="1"/>
        <v>0</v>
      </c>
      <c r="CY59">
        <f t="shared" si="2"/>
        <v>0</v>
      </c>
      <c r="CZ59">
        <f t="shared" si="3"/>
        <v>0</v>
      </c>
      <c r="DA59">
        <f t="shared" si="4"/>
        <v>5975.53</v>
      </c>
      <c r="DB59">
        <f t="shared" si="5"/>
        <v>8769.08</v>
      </c>
      <c r="DC59">
        <f t="shared" si="6"/>
        <v>1695.78</v>
      </c>
      <c r="DD59">
        <f t="shared" si="7"/>
        <v>0</v>
      </c>
      <c r="DE59">
        <f t="shared" si="8"/>
        <v>0</v>
      </c>
      <c r="DF59">
        <f t="shared" si="0"/>
        <v>16440.39</v>
      </c>
    </row>
    <row r="60" spans="1:110"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f t="shared" si="1"/>
        <v>0</v>
      </c>
      <c r="CY60">
        <f t="shared" si="2"/>
        <v>0</v>
      </c>
      <c r="CZ60">
        <f t="shared" si="3"/>
        <v>927.03</v>
      </c>
      <c r="DA60">
        <f t="shared" si="4"/>
        <v>6697.27</v>
      </c>
      <c r="DB60">
        <f t="shared" si="5"/>
        <v>0</v>
      </c>
      <c r="DC60">
        <f t="shared" si="6"/>
        <v>0</v>
      </c>
      <c r="DD60">
        <f t="shared" si="7"/>
        <v>0</v>
      </c>
      <c r="DE60">
        <f t="shared" si="8"/>
        <v>0</v>
      </c>
      <c r="DF60">
        <f t="shared" si="0"/>
        <v>7624.2999999999993</v>
      </c>
    </row>
    <row r="61" spans="1:110"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f t="shared" si="1"/>
        <v>0</v>
      </c>
      <c r="CY61">
        <f t="shared" si="2"/>
        <v>0</v>
      </c>
      <c r="CZ61">
        <f t="shared" si="3"/>
        <v>0</v>
      </c>
      <c r="DA61">
        <f t="shared" si="4"/>
        <v>0</v>
      </c>
      <c r="DB61">
        <f t="shared" si="5"/>
        <v>0</v>
      </c>
      <c r="DC61">
        <f t="shared" si="6"/>
        <v>3177.75</v>
      </c>
      <c r="DD61">
        <f t="shared" si="7"/>
        <v>0</v>
      </c>
      <c r="DE61">
        <f t="shared" si="8"/>
        <v>0</v>
      </c>
      <c r="DF61">
        <f t="shared" si="0"/>
        <v>3177.75</v>
      </c>
    </row>
    <row r="62" spans="1:110"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f t="shared" si="1"/>
        <v>0</v>
      </c>
      <c r="CY62">
        <f t="shared" si="2"/>
        <v>3448.27</v>
      </c>
      <c r="CZ62">
        <f t="shared" si="3"/>
        <v>0</v>
      </c>
      <c r="DA62">
        <f t="shared" si="4"/>
        <v>0</v>
      </c>
      <c r="DB62">
        <f t="shared" si="5"/>
        <v>0</v>
      </c>
      <c r="DC62">
        <f t="shared" si="6"/>
        <v>0</v>
      </c>
      <c r="DD62">
        <f t="shared" si="7"/>
        <v>0</v>
      </c>
      <c r="DE62">
        <f t="shared" si="8"/>
        <v>0</v>
      </c>
      <c r="DF62">
        <f t="shared" si="0"/>
        <v>3448.27</v>
      </c>
    </row>
    <row r="63" spans="1:110"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f t="shared" si="1"/>
        <v>0</v>
      </c>
      <c r="CY63">
        <f t="shared" si="2"/>
        <v>0</v>
      </c>
      <c r="CZ63">
        <f t="shared" si="3"/>
        <v>0</v>
      </c>
      <c r="DA63">
        <f t="shared" si="4"/>
        <v>0</v>
      </c>
      <c r="DB63">
        <f t="shared" si="5"/>
        <v>0</v>
      </c>
      <c r="DC63">
        <f t="shared" si="6"/>
        <v>1798.2600000000002</v>
      </c>
      <c r="DD63">
        <f t="shared" si="7"/>
        <v>0</v>
      </c>
      <c r="DE63">
        <f t="shared" si="8"/>
        <v>0</v>
      </c>
      <c r="DF63">
        <f t="shared" si="0"/>
        <v>1798.2600000000002</v>
      </c>
    </row>
    <row r="64" spans="1:110"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f t="shared" si="1"/>
        <v>0</v>
      </c>
      <c r="CY64">
        <f t="shared" si="2"/>
        <v>0</v>
      </c>
      <c r="CZ64">
        <f t="shared" si="3"/>
        <v>0</v>
      </c>
      <c r="DA64">
        <f t="shared" si="4"/>
        <v>0</v>
      </c>
      <c r="DB64">
        <f t="shared" si="5"/>
        <v>0</v>
      </c>
      <c r="DC64">
        <f t="shared" si="6"/>
        <v>0</v>
      </c>
      <c r="DD64">
        <f t="shared" si="7"/>
        <v>9139.5499999999993</v>
      </c>
      <c r="DE64">
        <f t="shared" si="8"/>
        <v>0</v>
      </c>
      <c r="DF64">
        <f t="shared" si="0"/>
        <v>9139.5499999999993</v>
      </c>
    </row>
    <row r="65" spans="1:110"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f t="shared" si="1"/>
        <v>0</v>
      </c>
      <c r="CY65">
        <f t="shared" si="2"/>
        <v>3835.2799999999997</v>
      </c>
      <c r="CZ65">
        <f t="shared" si="3"/>
        <v>4537.6000000000004</v>
      </c>
      <c r="DA65">
        <f t="shared" si="4"/>
        <v>0</v>
      </c>
      <c r="DB65">
        <f t="shared" si="5"/>
        <v>0</v>
      </c>
      <c r="DC65">
        <f t="shared" si="6"/>
        <v>0</v>
      </c>
      <c r="DD65">
        <f t="shared" si="7"/>
        <v>0</v>
      </c>
      <c r="DE65">
        <f t="shared" si="8"/>
        <v>0</v>
      </c>
      <c r="DF65">
        <f t="shared" si="0"/>
        <v>8372.8799999999992</v>
      </c>
    </row>
    <row r="66" spans="1:110"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f t="shared" si="1"/>
        <v>0</v>
      </c>
      <c r="CY66">
        <f t="shared" si="2"/>
        <v>0</v>
      </c>
      <c r="CZ66">
        <f t="shared" si="3"/>
        <v>0</v>
      </c>
      <c r="DA66">
        <f t="shared" si="4"/>
        <v>0</v>
      </c>
      <c r="DB66">
        <f t="shared" si="5"/>
        <v>6081.14</v>
      </c>
      <c r="DC66">
        <f t="shared" si="6"/>
        <v>0</v>
      </c>
      <c r="DD66">
        <f t="shared" si="7"/>
        <v>0</v>
      </c>
      <c r="DE66">
        <f t="shared" si="8"/>
        <v>0</v>
      </c>
      <c r="DF66">
        <f t="shared" si="0"/>
        <v>6081.14</v>
      </c>
    </row>
    <row r="67" spans="1:110"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f t="shared" si="1"/>
        <v>0</v>
      </c>
      <c r="CY67">
        <f t="shared" si="2"/>
        <v>0</v>
      </c>
      <c r="CZ67">
        <f t="shared" si="3"/>
        <v>0</v>
      </c>
      <c r="DA67">
        <f t="shared" si="4"/>
        <v>0</v>
      </c>
      <c r="DB67">
        <f t="shared" si="5"/>
        <v>0</v>
      </c>
      <c r="DC67">
        <f t="shared" si="6"/>
        <v>8602.3499999999985</v>
      </c>
      <c r="DD67">
        <f t="shared" si="7"/>
        <v>6164.1399999999994</v>
      </c>
      <c r="DE67">
        <f t="shared" si="8"/>
        <v>0</v>
      </c>
      <c r="DF67">
        <f t="shared" ref="DF67:DF130" si="20">SUM(F67:CW67)</f>
        <v>14766.489999999998</v>
      </c>
    </row>
    <row r="68" spans="1:110"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f t="shared" ref="CX68:CX131" si="21">SUM(F68:Q68)</f>
        <v>0</v>
      </c>
      <c r="CY68">
        <f t="shared" ref="CY68:CY131" si="22">SUM(R68:AC68)</f>
        <v>0</v>
      </c>
      <c r="CZ68">
        <f t="shared" ref="CZ68:CZ131" si="23">SUM(AD68:AO68)</f>
        <v>0</v>
      </c>
      <c r="DA68">
        <f t="shared" ref="DA68:DA131" si="24">SUM(AP68:BA68)</f>
        <v>0</v>
      </c>
      <c r="DB68">
        <f t="shared" ref="DB68:DB131" si="25">SUM(BB68:BM68)</f>
        <v>0</v>
      </c>
      <c r="DC68">
        <f t="shared" ref="DC68:DC131" si="26">SUM(BN68:BY68)</f>
        <v>2043.1399999999999</v>
      </c>
      <c r="DD68">
        <f t="shared" ref="DD68:DD131" si="27">SUM(BZ68:CK68)</f>
        <v>3422.41</v>
      </c>
      <c r="DE68">
        <f t="shared" ref="DE68:DE131" si="28">SUM(CL68:CW68)</f>
        <v>0</v>
      </c>
      <c r="DF68">
        <f t="shared" si="20"/>
        <v>5465.55</v>
      </c>
    </row>
    <row r="69" spans="1:110"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f t="shared" si="21"/>
        <v>0</v>
      </c>
      <c r="CY69">
        <f t="shared" si="22"/>
        <v>0</v>
      </c>
      <c r="CZ69">
        <f t="shared" si="23"/>
        <v>0</v>
      </c>
      <c r="DA69">
        <f t="shared" si="24"/>
        <v>3103.14</v>
      </c>
      <c r="DB69">
        <f t="shared" si="25"/>
        <v>16745.5</v>
      </c>
      <c r="DC69">
        <f t="shared" si="26"/>
        <v>0</v>
      </c>
      <c r="DD69">
        <f t="shared" si="27"/>
        <v>0</v>
      </c>
      <c r="DE69">
        <f t="shared" si="28"/>
        <v>0</v>
      </c>
      <c r="DF69">
        <f t="shared" si="20"/>
        <v>19848.64</v>
      </c>
    </row>
    <row r="70" spans="1:110"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f t="shared" si="21"/>
        <v>0</v>
      </c>
      <c r="CY70">
        <f t="shared" si="22"/>
        <v>0</v>
      </c>
      <c r="CZ70">
        <f t="shared" si="23"/>
        <v>0</v>
      </c>
      <c r="DA70">
        <f t="shared" si="24"/>
        <v>0</v>
      </c>
      <c r="DB70">
        <f t="shared" si="25"/>
        <v>0</v>
      </c>
      <c r="DC70">
        <f t="shared" si="26"/>
        <v>0</v>
      </c>
      <c r="DD70">
        <f t="shared" si="27"/>
        <v>0</v>
      </c>
      <c r="DE70">
        <f t="shared" si="28"/>
        <v>2375.6999999999998</v>
      </c>
      <c r="DF70">
        <f t="shared" si="20"/>
        <v>2375.6999999999998</v>
      </c>
    </row>
    <row r="71" spans="1:110"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f t="shared" si="21"/>
        <v>0</v>
      </c>
      <c r="CY71">
        <f t="shared" si="22"/>
        <v>0</v>
      </c>
      <c r="CZ71">
        <f t="shared" si="23"/>
        <v>0</v>
      </c>
      <c r="DA71">
        <f t="shared" si="24"/>
        <v>5297.3600000000006</v>
      </c>
      <c r="DB71">
        <f t="shared" si="25"/>
        <v>312.60000000000002</v>
      </c>
      <c r="DC71">
        <f t="shared" si="26"/>
        <v>0</v>
      </c>
      <c r="DD71">
        <f t="shared" si="27"/>
        <v>0</v>
      </c>
      <c r="DE71">
        <f t="shared" si="28"/>
        <v>0</v>
      </c>
      <c r="DF71">
        <f t="shared" si="20"/>
        <v>5609.9600000000009</v>
      </c>
    </row>
    <row r="72" spans="1:110"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f t="shared" si="21"/>
        <v>0</v>
      </c>
      <c r="CY72">
        <f t="shared" si="22"/>
        <v>0</v>
      </c>
      <c r="CZ72">
        <f t="shared" si="23"/>
        <v>0</v>
      </c>
      <c r="DA72">
        <f t="shared" si="24"/>
        <v>0</v>
      </c>
      <c r="DB72">
        <f t="shared" si="25"/>
        <v>2898.62</v>
      </c>
      <c r="DC72">
        <f t="shared" si="26"/>
        <v>0</v>
      </c>
      <c r="DD72">
        <f t="shared" si="27"/>
        <v>0</v>
      </c>
      <c r="DE72">
        <f t="shared" si="28"/>
        <v>0</v>
      </c>
      <c r="DF72">
        <f t="shared" si="20"/>
        <v>2898.62</v>
      </c>
    </row>
    <row r="73" spans="1:110"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f t="shared" si="21"/>
        <v>0</v>
      </c>
      <c r="CY73">
        <f t="shared" si="22"/>
        <v>0</v>
      </c>
      <c r="CZ73">
        <f t="shared" si="23"/>
        <v>0</v>
      </c>
      <c r="DA73">
        <f t="shared" si="24"/>
        <v>0</v>
      </c>
      <c r="DB73">
        <f t="shared" si="25"/>
        <v>24470.91</v>
      </c>
      <c r="DC73">
        <f t="shared" si="26"/>
        <v>0</v>
      </c>
      <c r="DD73">
        <f t="shared" si="27"/>
        <v>0</v>
      </c>
      <c r="DE73">
        <f t="shared" si="28"/>
        <v>0</v>
      </c>
      <c r="DF73">
        <f t="shared" si="20"/>
        <v>24470.91</v>
      </c>
    </row>
    <row r="74" spans="1:110"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f t="shared" si="21"/>
        <v>0</v>
      </c>
      <c r="CY74">
        <f t="shared" si="22"/>
        <v>0</v>
      </c>
      <c r="CZ74">
        <f t="shared" si="23"/>
        <v>0</v>
      </c>
      <c r="DA74">
        <f t="shared" si="24"/>
        <v>0</v>
      </c>
      <c r="DB74">
        <f t="shared" si="25"/>
        <v>1662.1</v>
      </c>
      <c r="DC74">
        <f t="shared" si="26"/>
        <v>0</v>
      </c>
      <c r="DD74">
        <f t="shared" si="27"/>
        <v>0</v>
      </c>
      <c r="DE74">
        <f t="shared" si="28"/>
        <v>0</v>
      </c>
      <c r="DF74">
        <f t="shared" si="20"/>
        <v>1662.1</v>
      </c>
    </row>
    <row r="75" spans="1:110"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f t="shared" si="21"/>
        <v>0</v>
      </c>
      <c r="CY75">
        <f t="shared" si="22"/>
        <v>0</v>
      </c>
      <c r="CZ75">
        <f t="shared" si="23"/>
        <v>0</v>
      </c>
      <c r="DA75">
        <f t="shared" si="24"/>
        <v>0</v>
      </c>
      <c r="DB75">
        <f t="shared" si="25"/>
        <v>0</v>
      </c>
      <c r="DC75">
        <f t="shared" si="26"/>
        <v>6212.98</v>
      </c>
      <c r="DD75">
        <f t="shared" si="27"/>
        <v>124266.6</v>
      </c>
      <c r="DE75">
        <f t="shared" si="28"/>
        <v>81836.95</v>
      </c>
      <c r="DF75">
        <f t="shared" si="20"/>
        <v>212316.52999999997</v>
      </c>
    </row>
    <row r="76" spans="1:110"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f t="shared" si="21"/>
        <v>0</v>
      </c>
      <c r="CY76">
        <f t="shared" si="22"/>
        <v>1262.5</v>
      </c>
      <c r="CZ76">
        <f t="shared" si="23"/>
        <v>6634.03</v>
      </c>
      <c r="DA76">
        <f t="shared" si="24"/>
        <v>0</v>
      </c>
      <c r="DB76">
        <f t="shared" si="25"/>
        <v>0</v>
      </c>
      <c r="DC76">
        <f t="shared" si="26"/>
        <v>0</v>
      </c>
      <c r="DD76">
        <f t="shared" si="27"/>
        <v>0</v>
      </c>
      <c r="DE76">
        <f t="shared" si="28"/>
        <v>0</v>
      </c>
      <c r="DF76">
        <f t="shared" si="20"/>
        <v>7896.53</v>
      </c>
    </row>
    <row r="77" spans="1:110"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f t="shared" si="21"/>
        <v>0</v>
      </c>
      <c r="CY77">
        <f t="shared" si="22"/>
        <v>0</v>
      </c>
      <c r="CZ77">
        <f t="shared" si="23"/>
        <v>0</v>
      </c>
      <c r="DA77">
        <f t="shared" si="24"/>
        <v>325.82</v>
      </c>
      <c r="DB77">
        <f t="shared" si="25"/>
        <v>23929.659999999993</v>
      </c>
      <c r="DC77">
        <f t="shared" si="26"/>
        <v>16615.009999999998</v>
      </c>
      <c r="DD77">
        <f t="shared" si="27"/>
        <v>0</v>
      </c>
      <c r="DE77">
        <f t="shared" si="28"/>
        <v>0</v>
      </c>
      <c r="DF77">
        <f t="shared" si="20"/>
        <v>40870.489999999991</v>
      </c>
    </row>
    <row r="78" spans="1:110"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f t="shared" si="21"/>
        <v>0</v>
      </c>
      <c r="CY78">
        <f t="shared" si="22"/>
        <v>3391.01</v>
      </c>
      <c r="CZ78">
        <f t="shared" si="23"/>
        <v>0</v>
      </c>
      <c r="DA78">
        <f t="shared" si="24"/>
        <v>0</v>
      </c>
      <c r="DB78">
        <f t="shared" si="25"/>
        <v>0</v>
      </c>
      <c r="DC78">
        <f t="shared" si="26"/>
        <v>0</v>
      </c>
      <c r="DD78">
        <f t="shared" si="27"/>
        <v>0</v>
      </c>
      <c r="DE78">
        <f t="shared" si="28"/>
        <v>0</v>
      </c>
      <c r="DF78">
        <f t="shared" si="20"/>
        <v>3391.01</v>
      </c>
    </row>
    <row r="79" spans="1:110"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f t="shared" si="21"/>
        <v>0</v>
      </c>
      <c r="CY79">
        <f t="shared" si="22"/>
        <v>0</v>
      </c>
      <c r="CZ79">
        <f t="shared" si="23"/>
        <v>0</v>
      </c>
      <c r="DA79">
        <f t="shared" si="24"/>
        <v>2405.0699999999997</v>
      </c>
      <c r="DB79">
        <f t="shared" si="25"/>
        <v>4217.08</v>
      </c>
      <c r="DC79">
        <f t="shared" si="26"/>
        <v>384.81</v>
      </c>
      <c r="DD79">
        <f t="shared" si="27"/>
        <v>0</v>
      </c>
      <c r="DE79">
        <f t="shared" si="28"/>
        <v>0</v>
      </c>
      <c r="DF79">
        <f t="shared" si="20"/>
        <v>7006.9599999999991</v>
      </c>
    </row>
    <row r="80" spans="1:110"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f t="shared" si="21"/>
        <v>0</v>
      </c>
      <c r="CY80">
        <f t="shared" si="22"/>
        <v>6113.2</v>
      </c>
      <c r="CZ80">
        <f t="shared" si="23"/>
        <v>2706.32</v>
      </c>
      <c r="DA80">
        <f t="shared" si="24"/>
        <v>3481.24</v>
      </c>
      <c r="DB80">
        <f t="shared" si="25"/>
        <v>0</v>
      </c>
      <c r="DC80">
        <f t="shared" si="26"/>
        <v>0</v>
      </c>
      <c r="DD80">
        <f t="shared" si="27"/>
        <v>0</v>
      </c>
      <c r="DE80">
        <f t="shared" si="28"/>
        <v>0</v>
      </c>
      <c r="DF80">
        <f t="shared" si="20"/>
        <v>12300.76</v>
      </c>
    </row>
    <row r="81" spans="1:110"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f t="shared" si="21"/>
        <v>0</v>
      </c>
      <c r="CY81">
        <f t="shared" si="22"/>
        <v>0</v>
      </c>
      <c r="CZ81">
        <f t="shared" si="23"/>
        <v>0</v>
      </c>
      <c r="DA81">
        <f t="shared" si="24"/>
        <v>0</v>
      </c>
      <c r="DB81">
        <f t="shared" si="25"/>
        <v>0</v>
      </c>
      <c r="DC81">
        <f t="shared" si="26"/>
        <v>4527.3500000000004</v>
      </c>
      <c r="DD81">
        <f t="shared" si="27"/>
        <v>0</v>
      </c>
      <c r="DE81">
        <f t="shared" si="28"/>
        <v>0</v>
      </c>
      <c r="DF81">
        <f t="shared" si="20"/>
        <v>4527.3500000000004</v>
      </c>
    </row>
    <row r="82" spans="1:110"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f t="shared" si="21"/>
        <v>0</v>
      </c>
      <c r="CY82">
        <f t="shared" si="22"/>
        <v>0</v>
      </c>
      <c r="CZ82">
        <f t="shared" si="23"/>
        <v>0</v>
      </c>
      <c r="DA82">
        <f t="shared" si="24"/>
        <v>2129.1</v>
      </c>
      <c r="DB82">
        <f t="shared" si="25"/>
        <v>9298.7199999999993</v>
      </c>
      <c r="DC82">
        <f t="shared" si="26"/>
        <v>6391.89</v>
      </c>
      <c r="DD82">
        <f t="shared" si="27"/>
        <v>0</v>
      </c>
      <c r="DE82">
        <f t="shared" si="28"/>
        <v>0</v>
      </c>
      <c r="DF82">
        <f t="shared" si="20"/>
        <v>17819.71</v>
      </c>
    </row>
    <row r="83" spans="1:110"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f t="shared" si="21"/>
        <v>0</v>
      </c>
      <c r="CY83">
        <f t="shared" si="22"/>
        <v>0</v>
      </c>
      <c r="CZ83">
        <f t="shared" si="23"/>
        <v>0</v>
      </c>
      <c r="DA83">
        <f t="shared" si="24"/>
        <v>0</v>
      </c>
      <c r="DB83">
        <f t="shared" si="25"/>
        <v>0</v>
      </c>
      <c r="DC83">
        <f t="shared" si="26"/>
        <v>0</v>
      </c>
      <c r="DD83">
        <f t="shared" si="27"/>
        <v>9488.130000000001</v>
      </c>
      <c r="DE83">
        <f t="shared" si="28"/>
        <v>1061.9100000000001</v>
      </c>
      <c r="DF83">
        <f t="shared" si="20"/>
        <v>10550.04</v>
      </c>
    </row>
    <row r="84" spans="1:110"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f t="shared" si="21"/>
        <v>0</v>
      </c>
      <c r="CY84">
        <f t="shared" si="22"/>
        <v>0</v>
      </c>
      <c r="CZ84">
        <f t="shared" si="23"/>
        <v>0</v>
      </c>
      <c r="DA84">
        <f t="shared" si="24"/>
        <v>0</v>
      </c>
      <c r="DB84">
        <f t="shared" si="25"/>
        <v>0</v>
      </c>
      <c r="DC84">
        <f t="shared" si="26"/>
        <v>4079.59</v>
      </c>
      <c r="DD84">
        <f t="shared" si="27"/>
        <v>0</v>
      </c>
      <c r="DE84">
        <f t="shared" si="28"/>
        <v>0</v>
      </c>
      <c r="DF84">
        <f t="shared" si="20"/>
        <v>4079.59</v>
      </c>
    </row>
    <row r="85" spans="1:110"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f t="shared" si="21"/>
        <v>0</v>
      </c>
      <c r="CY85">
        <f t="shared" si="22"/>
        <v>0</v>
      </c>
      <c r="CZ85">
        <f t="shared" si="23"/>
        <v>0</v>
      </c>
      <c r="DA85">
        <f t="shared" si="24"/>
        <v>0</v>
      </c>
      <c r="DB85">
        <f t="shared" si="25"/>
        <v>0</v>
      </c>
      <c r="DC85">
        <f t="shared" si="26"/>
        <v>0</v>
      </c>
      <c r="DD85">
        <f t="shared" si="27"/>
        <v>6593.59</v>
      </c>
      <c r="DE85">
        <f t="shared" si="28"/>
        <v>358.83</v>
      </c>
      <c r="DF85">
        <f t="shared" si="20"/>
        <v>6952.42</v>
      </c>
    </row>
    <row r="86" spans="1:110"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f t="shared" si="21"/>
        <v>0</v>
      </c>
      <c r="CY86">
        <f t="shared" si="22"/>
        <v>0</v>
      </c>
      <c r="CZ86">
        <f t="shared" si="23"/>
        <v>0</v>
      </c>
      <c r="DA86">
        <f t="shared" si="24"/>
        <v>0</v>
      </c>
      <c r="DB86">
        <f t="shared" si="25"/>
        <v>20960.98</v>
      </c>
      <c r="DC86">
        <f t="shared" si="26"/>
        <v>0</v>
      </c>
      <c r="DD86">
        <f t="shared" si="27"/>
        <v>0</v>
      </c>
      <c r="DE86">
        <f t="shared" si="28"/>
        <v>0</v>
      </c>
      <c r="DF86">
        <f t="shared" si="20"/>
        <v>20960.98</v>
      </c>
    </row>
    <row r="87" spans="1:110"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f t="shared" si="21"/>
        <v>0</v>
      </c>
      <c r="CY87">
        <f t="shared" si="22"/>
        <v>0</v>
      </c>
      <c r="CZ87">
        <f t="shared" si="23"/>
        <v>0</v>
      </c>
      <c r="DA87">
        <f t="shared" si="24"/>
        <v>0</v>
      </c>
      <c r="DB87">
        <f t="shared" si="25"/>
        <v>0</v>
      </c>
      <c r="DC87">
        <f t="shared" si="26"/>
        <v>2025.7</v>
      </c>
      <c r="DD87">
        <f t="shared" si="27"/>
        <v>0</v>
      </c>
      <c r="DE87">
        <f t="shared" si="28"/>
        <v>0</v>
      </c>
      <c r="DF87">
        <f t="shared" si="20"/>
        <v>2025.7</v>
      </c>
    </row>
    <row r="88" spans="1:110"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f t="shared" si="21"/>
        <v>0</v>
      </c>
      <c r="CY88">
        <f t="shared" si="22"/>
        <v>0</v>
      </c>
      <c r="CZ88">
        <f t="shared" si="23"/>
        <v>0</v>
      </c>
      <c r="DA88">
        <f t="shared" si="24"/>
        <v>0</v>
      </c>
      <c r="DB88">
        <f t="shared" si="25"/>
        <v>0</v>
      </c>
      <c r="DC88">
        <f t="shared" si="26"/>
        <v>559.58000000000004</v>
      </c>
      <c r="DD88">
        <f t="shared" si="27"/>
        <v>3154.7</v>
      </c>
      <c r="DE88">
        <f t="shared" si="28"/>
        <v>2146.5100000000002</v>
      </c>
      <c r="DF88">
        <f t="shared" si="20"/>
        <v>5860.7899999999991</v>
      </c>
    </row>
    <row r="89" spans="1:110"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f t="shared" si="21"/>
        <v>0</v>
      </c>
      <c r="CY89">
        <f t="shared" si="22"/>
        <v>0</v>
      </c>
      <c r="CZ89">
        <f t="shared" si="23"/>
        <v>0</v>
      </c>
      <c r="DA89">
        <f t="shared" si="24"/>
        <v>0</v>
      </c>
      <c r="DB89">
        <f t="shared" si="25"/>
        <v>0</v>
      </c>
      <c r="DC89">
        <f t="shared" si="26"/>
        <v>0</v>
      </c>
      <c r="DD89">
        <f t="shared" si="27"/>
        <v>0</v>
      </c>
      <c r="DE89">
        <f t="shared" si="28"/>
        <v>4442.03</v>
      </c>
      <c r="DF89">
        <f t="shared" si="20"/>
        <v>4442.03</v>
      </c>
    </row>
    <row r="90" spans="1:110"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f t="shared" si="21"/>
        <v>0</v>
      </c>
      <c r="CY90">
        <f t="shared" si="22"/>
        <v>31824.579999999994</v>
      </c>
      <c r="CZ90">
        <f t="shared" si="23"/>
        <v>92518.9</v>
      </c>
      <c r="DA90">
        <f t="shared" si="24"/>
        <v>46731.770000000004</v>
      </c>
      <c r="DB90">
        <f t="shared" si="25"/>
        <v>0</v>
      </c>
      <c r="DC90">
        <f t="shared" si="26"/>
        <v>0</v>
      </c>
      <c r="DD90">
        <f t="shared" si="27"/>
        <v>0</v>
      </c>
      <c r="DE90">
        <f t="shared" si="28"/>
        <v>0</v>
      </c>
      <c r="DF90">
        <f t="shared" si="20"/>
        <v>171075.25</v>
      </c>
    </row>
    <row r="91" spans="1:110"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f t="shared" si="21"/>
        <v>0</v>
      </c>
      <c r="CY91">
        <f t="shared" si="22"/>
        <v>0</v>
      </c>
      <c r="CZ91">
        <f t="shared" si="23"/>
        <v>0</v>
      </c>
      <c r="DA91">
        <f t="shared" si="24"/>
        <v>0</v>
      </c>
      <c r="DB91">
        <f t="shared" si="25"/>
        <v>0</v>
      </c>
      <c r="DC91">
        <f t="shared" si="26"/>
        <v>5940.22</v>
      </c>
      <c r="DD91">
        <f t="shared" si="27"/>
        <v>0</v>
      </c>
      <c r="DE91">
        <f t="shared" si="28"/>
        <v>0</v>
      </c>
      <c r="DF91">
        <f t="shared" si="20"/>
        <v>5940.22</v>
      </c>
    </row>
    <row r="92" spans="1:110"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f t="shared" si="21"/>
        <v>0</v>
      </c>
      <c r="CY92">
        <f t="shared" si="22"/>
        <v>0</v>
      </c>
      <c r="CZ92">
        <f t="shared" si="23"/>
        <v>0</v>
      </c>
      <c r="DA92">
        <f t="shared" si="24"/>
        <v>0</v>
      </c>
      <c r="DB92">
        <f t="shared" si="25"/>
        <v>0</v>
      </c>
      <c r="DC92">
        <f t="shared" si="26"/>
        <v>3097.1</v>
      </c>
      <c r="DD92">
        <f t="shared" si="27"/>
        <v>0</v>
      </c>
      <c r="DE92">
        <f t="shared" si="28"/>
        <v>0</v>
      </c>
      <c r="DF92">
        <f t="shared" si="20"/>
        <v>3097.1</v>
      </c>
    </row>
    <row r="93" spans="1:110"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f t="shared" si="21"/>
        <v>0</v>
      </c>
      <c r="CY93">
        <f t="shared" si="22"/>
        <v>0</v>
      </c>
      <c r="CZ93">
        <f t="shared" si="23"/>
        <v>0</v>
      </c>
      <c r="DA93">
        <f t="shared" si="24"/>
        <v>0</v>
      </c>
      <c r="DB93">
        <f t="shared" si="25"/>
        <v>0</v>
      </c>
      <c r="DC93">
        <f t="shared" si="26"/>
        <v>0</v>
      </c>
      <c r="DD93">
        <f t="shared" si="27"/>
        <v>9616.89</v>
      </c>
      <c r="DE93">
        <f t="shared" si="28"/>
        <v>9489.56</v>
      </c>
      <c r="DF93">
        <f t="shared" si="20"/>
        <v>19106.45</v>
      </c>
    </row>
    <row r="94" spans="1:110"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f t="shared" si="21"/>
        <v>0</v>
      </c>
      <c r="CY94">
        <f t="shared" si="22"/>
        <v>0</v>
      </c>
      <c r="CZ94">
        <f t="shared" si="23"/>
        <v>0</v>
      </c>
      <c r="DA94">
        <f t="shared" si="24"/>
        <v>0</v>
      </c>
      <c r="DB94">
        <f t="shared" si="25"/>
        <v>0</v>
      </c>
      <c r="DC94">
        <f t="shared" si="26"/>
        <v>0</v>
      </c>
      <c r="DD94">
        <f t="shared" si="27"/>
        <v>2512.9399999999996</v>
      </c>
      <c r="DE94">
        <f t="shared" si="28"/>
        <v>0</v>
      </c>
      <c r="DF94">
        <f t="shared" si="20"/>
        <v>2512.9399999999996</v>
      </c>
    </row>
    <row r="95" spans="1:110"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f t="shared" si="21"/>
        <v>0</v>
      </c>
      <c r="CY95">
        <f t="shared" si="22"/>
        <v>0</v>
      </c>
      <c r="CZ95">
        <f t="shared" si="23"/>
        <v>0</v>
      </c>
      <c r="DA95">
        <f t="shared" si="24"/>
        <v>0</v>
      </c>
      <c r="DB95">
        <f t="shared" si="25"/>
        <v>0</v>
      </c>
      <c r="DC95">
        <f t="shared" si="26"/>
        <v>24660.469999999998</v>
      </c>
      <c r="DD95">
        <f t="shared" si="27"/>
        <v>60400.580000000009</v>
      </c>
      <c r="DE95">
        <f t="shared" si="28"/>
        <v>0</v>
      </c>
      <c r="DF95">
        <f t="shared" si="20"/>
        <v>85061.049999999988</v>
      </c>
    </row>
    <row r="96" spans="1:110"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f t="shared" si="21"/>
        <v>0</v>
      </c>
      <c r="CY96">
        <f t="shared" si="22"/>
        <v>0</v>
      </c>
      <c r="CZ96">
        <f t="shared" si="23"/>
        <v>0</v>
      </c>
      <c r="DA96">
        <f t="shared" si="24"/>
        <v>0</v>
      </c>
      <c r="DB96">
        <f t="shared" si="25"/>
        <v>0</v>
      </c>
      <c r="DC96">
        <f t="shared" si="26"/>
        <v>8633.6899999999987</v>
      </c>
      <c r="DD96">
        <f t="shared" si="27"/>
        <v>8911.41</v>
      </c>
      <c r="DE96">
        <f t="shared" si="28"/>
        <v>870.66</v>
      </c>
      <c r="DF96">
        <f t="shared" si="20"/>
        <v>18415.759999999998</v>
      </c>
    </row>
    <row r="97" spans="1:110"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f t="shared" si="21"/>
        <v>0</v>
      </c>
      <c r="CY97">
        <f t="shared" si="22"/>
        <v>0</v>
      </c>
      <c r="CZ97">
        <f t="shared" si="23"/>
        <v>0</v>
      </c>
      <c r="DA97">
        <f t="shared" si="24"/>
        <v>0</v>
      </c>
      <c r="DB97">
        <f t="shared" si="25"/>
        <v>0</v>
      </c>
      <c r="DC97">
        <f t="shared" si="26"/>
        <v>0</v>
      </c>
      <c r="DD97">
        <f t="shared" si="27"/>
        <v>0</v>
      </c>
      <c r="DE97">
        <f t="shared" si="28"/>
        <v>1412.8799999999999</v>
      </c>
      <c r="DF97">
        <f t="shared" si="20"/>
        <v>1412.8799999999999</v>
      </c>
    </row>
    <row r="98" spans="1:110"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f t="shared" si="21"/>
        <v>0</v>
      </c>
      <c r="CY98">
        <f t="shared" si="22"/>
        <v>0</v>
      </c>
      <c r="CZ98">
        <f t="shared" si="23"/>
        <v>0</v>
      </c>
      <c r="DA98">
        <f t="shared" si="24"/>
        <v>0</v>
      </c>
      <c r="DB98">
        <f t="shared" si="25"/>
        <v>0</v>
      </c>
      <c r="DC98">
        <f t="shared" si="26"/>
        <v>0</v>
      </c>
      <c r="DD98">
        <f t="shared" si="27"/>
        <v>0</v>
      </c>
      <c r="DE98">
        <f t="shared" si="28"/>
        <v>1718.36</v>
      </c>
      <c r="DF98">
        <f t="shared" si="20"/>
        <v>1718.36</v>
      </c>
    </row>
    <row r="99" spans="1:110"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f t="shared" si="21"/>
        <v>0</v>
      </c>
      <c r="CY99">
        <f t="shared" si="22"/>
        <v>0</v>
      </c>
      <c r="CZ99">
        <f t="shared" si="23"/>
        <v>0</v>
      </c>
      <c r="DA99">
        <f t="shared" si="24"/>
        <v>0</v>
      </c>
      <c r="DB99">
        <f t="shared" si="25"/>
        <v>0</v>
      </c>
      <c r="DC99">
        <f t="shared" si="26"/>
        <v>6494.31</v>
      </c>
      <c r="DD99">
        <f t="shared" si="27"/>
        <v>29149.02</v>
      </c>
      <c r="DE99">
        <f t="shared" si="28"/>
        <v>0</v>
      </c>
      <c r="DF99">
        <f t="shared" si="20"/>
        <v>35643.33</v>
      </c>
    </row>
    <row r="100" spans="1:110"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f t="shared" si="21"/>
        <v>0</v>
      </c>
      <c r="CY100">
        <f t="shared" si="22"/>
        <v>0</v>
      </c>
      <c r="CZ100">
        <f t="shared" si="23"/>
        <v>0</v>
      </c>
      <c r="DA100">
        <f t="shared" si="24"/>
        <v>0</v>
      </c>
      <c r="DB100">
        <f t="shared" si="25"/>
        <v>0</v>
      </c>
      <c r="DC100">
        <f t="shared" si="26"/>
        <v>3310.6499999999996</v>
      </c>
      <c r="DD100">
        <f t="shared" si="27"/>
        <v>305.92</v>
      </c>
      <c r="DE100">
        <f t="shared" si="28"/>
        <v>0</v>
      </c>
      <c r="DF100">
        <f t="shared" si="20"/>
        <v>3616.5699999999997</v>
      </c>
    </row>
    <row r="101" spans="1:110"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f t="shared" si="21"/>
        <v>0</v>
      </c>
      <c r="CY101">
        <f t="shared" si="22"/>
        <v>0</v>
      </c>
      <c r="CZ101">
        <f t="shared" si="23"/>
        <v>0</v>
      </c>
      <c r="DA101">
        <f t="shared" si="24"/>
        <v>7956.2000000000007</v>
      </c>
      <c r="DB101">
        <f t="shared" si="25"/>
        <v>7049.84</v>
      </c>
      <c r="DC101">
        <f t="shared" si="26"/>
        <v>0</v>
      </c>
      <c r="DD101">
        <f t="shared" si="27"/>
        <v>0</v>
      </c>
      <c r="DE101">
        <f t="shared" si="28"/>
        <v>0</v>
      </c>
      <c r="DF101">
        <f t="shared" si="20"/>
        <v>15006.039999999999</v>
      </c>
    </row>
    <row r="102" spans="1:110"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f t="shared" si="21"/>
        <v>0</v>
      </c>
      <c r="CY102">
        <f t="shared" si="22"/>
        <v>0</v>
      </c>
      <c r="CZ102">
        <f t="shared" si="23"/>
        <v>0</v>
      </c>
      <c r="DA102">
        <f t="shared" si="24"/>
        <v>0</v>
      </c>
      <c r="DB102">
        <f t="shared" si="25"/>
        <v>0</v>
      </c>
      <c r="DC102">
        <f t="shared" si="26"/>
        <v>8702.130000000001</v>
      </c>
      <c r="DD102">
        <f t="shared" si="27"/>
        <v>1312.57</v>
      </c>
      <c r="DE102">
        <f t="shared" si="28"/>
        <v>0</v>
      </c>
      <c r="DF102">
        <f t="shared" si="20"/>
        <v>10014.700000000001</v>
      </c>
    </row>
    <row r="103" spans="1:110"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f t="shared" si="21"/>
        <v>0</v>
      </c>
      <c r="CY103">
        <f t="shared" si="22"/>
        <v>0</v>
      </c>
      <c r="CZ103">
        <f t="shared" si="23"/>
        <v>0</v>
      </c>
      <c r="DA103">
        <f t="shared" si="24"/>
        <v>0</v>
      </c>
      <c r="DB103">
        <f t="shared" si="25"/>
        <v>0</v>
      </c>
      <c r="DC103">
        <f t="shared" si="26"/>
        <v>0</v>
      </c>
      <c r="DD103">
        <f t="shared" si="27"/>
        <v>3868.48</v>
      </c>
      <c r="DE103">
        <f t="shared" si="28"/>
        <v>222.68</v>
      </c>
      <c r="DF103">
        <f t="shared" si="20"/>
        <v>4091.16</v>
      </c>
    </row>
    <row r="104" spans="1:110"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f t="shared" si="21"/>
        <v>0</v>
      </c>
      <c r="CY104">
        <f t="shared" si="22"/>
        <v>947.37</v>
      </c>
      <c r="CZ104">
        <f t="shared" si="23"/>
        <v>3393.59</v>
      </c>
      <c r="DA104">
        <f t="shared" si="24"/>
        <v>0</v>
      </c>
      <c r="DB104">
        <f t="shared" si="25"/>
        <v>0</v>
      </c>
      <c r="DC104">
        <f t="shared" si="26"/>
        <v>0</v>
      </c>
      <c r="DD104">
        <f t="shared" si="27"/>
        <v>0</v>
      </c>
      <c r="DE104">
        <f t="shared" si="28"/>
        <v>0</v>
      </c>
      <c r="DF104">
        <f t="shared" si="20"/>
        <v>4340.96</v>
      </c>
    </row>
    <row r="105" spans="1:110"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f t="shared" si="21"/>
        <v>0</v>
      </c>
      <c r="CY105">
        <f t="shared" si="22"/>
        <v>0</v>
      </c>
      <c r="CZ105">
        <f t="shared" si="23"/>
        <v>0</v>
      </c>
      <c r="DA105">
        <f t="shared" si="24"/>
        <v>0</v>
      </c>
      <c r="DB105">
        <f t="shared" si="25"/>
        <v>0</v>
      </c>
      <c r="DC105">
        <f t="shared" si="26"/>
        <v>2179.64</v>
      </c>
      <c r="DD105">
        <f t="shared" si="27"/>
        <v>8026.5700000000006</v>
      </c>
      <c r="DE105">
        <f t="shared" si="28"/>
        <v>2180.1799999999998</v>
      </c>
      <c r="DF105">
        <f t="shared" si="20"/>
        <v>12386.39</v>
      </c>
    </row>
    <row r="106" spans="1:110"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f t="shared" si="21"/>
        <v>0</v>
      </c>
      <c r="CY106">
        <f t="shared" si="22"/>
        <v>1490.4999999999998</v>
      </c>
      <c r="CZ106">
        <f t="shared" si="23"/>
        <v>14285.98</v>
      </c>
      <c r="DA106">
        <f t="shared" si="24"/>
        <v>2002.8</v>
      </c>
      <c r="DB106">
        <f t="shared" si="25"/>
        <v>0</v>
      </c>
      <c r="DC106">
        <f t="shared" si="26"/>
        <v>0</v>
      </c>
      <c r="DD106">
        <f t="shared" si="27"/>
        <v>0</v>
      </c>
      <c r="DE106">
        <f t="shared" si="28"/>
        <v>0</v>
      </c>
      <c r="DF106">
        <f t="shared" si="20"/>
        <v>17779.28</v>
      </c>
    </row>
    <row r="107" spans="1:110"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f t="shared" si="21"/>
        <v>0</v>
      </c>
      <c r="CY107">
        <f t="shared" si="22"/>
        <v>0</v>
      </c>
      <c r="CZ107">
        <f t="shared" si="23"/>
        <v>0</v>
      </c>
      <c r="DA107">
        <f t="shared" si="24"/>
        <v>0</v>
      </c>
      <c r="DB107">
        <f t="shared" si="25"/>
        <v>6303.09</v>
      </c>
      <c r="DC107">
        <f t="shared" si="26"/>
        <v>0</v>
      </c>
      <c r="DD107">
        <f t="shared" si="27"/>
        <v>0</v>
      </c>
      <c r="DE107">
        <f t="shared" si="28"/>
        <v>0</v>
      </c>
      <c r="DF107">
        <f t="shared" si="20"/>
        <v>6303.09</v>
      </c>
    </row>
    <row r="108" spans="1:110"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f t="shared" si="21"/>
        <v>0</v>
      </c>
      <c r="CY108">
        <f t="shared" si="22"/>
        <v>0</v>
      </c>
      <c r="CZ108">
        <f t="shared" si="23"/>
        <v>0</v>
      </c>
      <c r="DA108">
        <f t="shared" si="24"/>
        <v>0</v>
      </c>
      <c r="DB108">
        <f t="shared" si="25"/>
        <v>0</v>
      </c>
      <c r="DC108">
        <f t="shared" si="26"/>
        <v>0</v>
      </c>
      <c r="DD108">
        <f t="shared" si="27"/>
        <v>0</v>
      </c>
      <c r="DE108">
        <f t="shared" si="28"/>
        <v>2397.73</v>
      </c>
      <c r="DF108">
        <f t="shared" si="20"/>
        <v>2397.73</v>
      </c>
    </row>
    <row r="109" spans="1:110"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f t="shared" si="21"/>
        <v>0</v>
      </c>
      <c r="CY109">
        <f t="shared" si="22"/>
        <v>0</v>
      </c>
      <c r="CZ109">
        <f t="shared" si="23"/>
        <v>0</v>
      </c>
      <c r="DA109">
        <f t="shared" si="24"/>
        <v>0</v>
      </c>
      <c r="DB109">
        <f t="shared" si="25"/>
        <v>0</v>
      </c>
      <c r="DC109">
        <f t="shared" si="26"/>
        <v>2644.4700000000003</v>
      </c>
      <c r="DD109">
        <f t="shared" si="27"/>
        <v>2879.88</v>
      </c>
      <c r="DE109">
        <f t="shared" si="28"/>
        <v>0</v>
      </c>
      <c r="DF109">
        <f t="shared" si="20"/>
        <v>5524.35</v>
      </c>
    </row>
    <row r="110" spans="1:110"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f t="shared" si="21"/>
        <v>0</v>
      </c>
      <c r="CY110">
        <f t="shared" si="22"/>
        <v>0</v>
      </c>
      <c r="CZ110">
        <f t="shared" si="23"/>
        <v>0</v>
      </c>
      <c r="DA110">
        <f t="shared" si="24"/>
        <v>0</v>
      </c>
      <c r="DB110">
        <f t="shared" si="25"/>
        <v>0</v>
      </c>
      <c r="DC110">
        <f t="shared" si="26"/>
        <v>2857.1099999999997</v>
      </c>
      <c r="DD110">
        <f t="shared" si="27"/>
        <v>3272.19</v>
      </c>
      <c r="DE110">
        <f t="shared" si="28"/>
        <v>0</v>
      </c>
      <c r="DF110">
        <f t="shared" si="20"/>
        <v>6129.3</v>
      </c>
    </row>
    <row r="111" spans="1:110"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f t="shared" si="21"/>
        <v>0</v>
      </c>
      <c r="CY111">
        <f t="shared" si="22"/>
        <v>0</v>
      </c>
      <c r="CZ111">
        <f t="shared" si="23"/>
        <v>0</v>
      </c>
      <c r="DA111">
        <f t="shared" si="24"/>
        <v>0</v>
      </c>
      <c r="DB111">
        <f t="shared" si="25"/>
        <v>0</v>
      </c>
      <c r="DC111">
        <f t="shared" si="26"/>
        <v>0</v>
      </c>
      <c r="DD111">
        <f t="shared" si="27"/>
        <v>0</v>
      </c>
      <c r="DE111">
        <f t="shared" si="28"/>
        <v>3756.35</v>
      </c>
      <c r="DF111">
        <f t="shared" si="20"/>
        <v>3756.35</v>
      </c>
    </row>
    <row r="112" spans="1:110"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f t="shared" si="21"/>
        <v>0</v>
      </c>
      <c r="CY112">
        <f t="shared" si="22"/>
        <v>0</v>
      </c>
      <c r="CZ112">
        <f t="shared" si="23"/>
        <v>0</v>
      </c>
      <c r="DA112">
        <f t="shared" si="24"/>
        <v>0</v>
      </c>
      <c r="DB112">
        <f t="shared" si="25"/>
        <v>6047.2000000000007</v>
      </c>
      <c r="DC112">
        <f t="shared" si="26"/>
        <v>2944.3900000000003</v>
      </c>
      <c r="DD112">
        <f t="shared" si="27"/>
        <v>711.4</v>
      </c>
      <c r="DE112">
        <f t="shared" si="28"/>
        <v>0</v>
      </c>
      <c r="DF112">
        <f t="shared" si="20"/>
        <v>9702.99</v>
      </c>
    </row>
    <row r="113" spans="1:110"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f t="shared" si="21"/>
        <v>0</v>
      </c>
      <c r="CY113">
        <f t="shared" si="22"/>
        <v>0</v>
      </c>
      <c r="CZ113">
        <f t="shared" si="23"/>
        <v>0</v>
      </c>
      <c r="DA113">
        <f t="shared" si="24"/>
        <v>0</v>
      </c>
      <c r="DB113">
        <f t="shared" si="25"/>
        <v>1720.1699999999998</v>
      </c>
      <c r="DC113">
        <f t="shared" si="26"/>
        <v>8332.1899999999987</v>
      </c>
      <c r="DD113">
        <f t="shared" si="27"/>
        <v>2019.4</v>
      </c>
      <c r="DE113">
        <f t="shared" si="28"/>
        <v>0</v>
      </c>
      <c r="DF113">
        <f t="shared" si="20"/>
        <v>12071.759999999998</v>
      </c>
    </row>
    <row r="114" spans="1:110"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f t="shared" si="21"/>
        <v>0</v>
      </c>
      <c r="CY114">
        <f t="shared" si="22"/>
        <v>5788.39</v>
      </c>
      <c r="CZ114">
        <f t="shared" si="23"/>
        <v>0</v>
      </c>
      <c r="DA114">
        <f t="shared" si="24"/>
        <v>0</v>
      </c>
      <c r="DB114">
        <f t="shared" si="25"/>
        <v>0</v>
      </c>
      <c r="DC114">
        <f t="shared" si="26"/>
        <v>0</v>
      </c>
      <c r="DD114">
        <f t="shared" si="27"/>
        <v>0</v>
      </c>
      <c r="DE114">
        <f t="shared" si="28"/>
        <v>0</v>
      </c>
      <c r="DF114">
        <f t="shared" si="20"/>
        <v>5788.39</v>
      </c>
    </row>
    <row r="115" spans="1:110"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f t="shared" si="21"/>
        <v>0</v>
      </c>
      <c r="CY115">
        <f t="shared" si="22"/>
        <v>0</v>
      </c>
      <c r="CZ115">
        <f t="shared" si="23"/>
        <v>0</v>
      </c>
      <c r="DA115">
        <f t="shared" si="24"/>
        <v>0</v>
      </c>
      <c r="DB115">
        <f t="shared" si="25"/>
        <v>0</v>
      </c>
      <c r="DC115">
        <f t="shared" si="26"/>
        <v>13085.42</v>
      </c>
      <c r="DD115">
        <f t="shared" si="27"/>
        <v>0</v>
      </c>
      <c r="DE115">
        <f t="shared" si="28"/>
        <v>0</v>
      </c>
      <c r="DF115">
        <f t="shared" si="20"/>
        <v>13085.42</v>
      </c>
    </row>
    <row r="116" spans="1:110"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f t="shared" si="21"/>
        <v>0</v>
      </c>
      <c r="CY116">
        <f t="shared" si="22"/>
        <v>0</v>
      </c>
      <c r="CZ116">
        <f t="shared" si="23"/>
        <v>0</v>
      </c>
      <c r="DA116">
        <f t="shared" si="24"/>
        <v>0</v>
      </c>
      <c r="DB116">
        <f t="shared" si="25"/>
        <v>0</v>
      </c>
      <c r="DC116">
        <f t="shared" si="26"/>
        <v>0</v>
      </c>
      <c r="DD116">
        <f t="shared" si="27"/>
        <v>0</v>
      </c>
      <c r="DE116">
        <f t="shared" si="28"/>
        <v>2817.3999999999996</v>
      </c>
      <c r="DF116">
        <f t="shared" si="20"/>
        <v>2817.3999999999996</v>
      </c>
    </row>
    <row r="117" spans="1:110"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f t="shared" si="21"/>
        <v>0</v>
      </c>
      <c r="CY117">
        <f t="shared" si="22"/>
        <v>0</v>
      </c>
      <c r="CZ117">
        <f t="shared" si="23"/>
        <v>0</v>
      </c>
      <c r="DA117">
        <f t="shared" si="24"/>
        <v>0</v>
      </c>
      <c r="DB117">
        <f t="shared" si="25"/>
        <v>5341.42</v>
      </c>
      <c r="DC117">
        <f t="shared" si="26"/>
        <v>7192.97</v>
      </c>
      <c r="DD117">
        <f t="shared" si="27"/>
        <v>0</v>
      </c>
      <c r="DE117">
        <f t="shared" si="28"/>
        <v>0</v>
      </c>
      <c r="DF117">
        <f t="shared" si="20"/>
        <v>12534.39</v>
      </c>
    </row>
    <row r="118" spans="1:110"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f t="shared" si="21"/>
        <v>0</v>
      </c>
      <c r="CY118">
        <f t="shared" si="22"/>
        <v>0</v>
      </c>
      <c r="CZ118">
        <f t="shared" si="23"/>
        <v>0</v>
      </c>
      <c r="DA118">
        <f t="shared" si="24"/>
        <v>2517.4899999999998</v>
      </c>
      <c r="DB118">
        <f t="shared" si="25"/>
        <v>0</v>
      </c>
      <c r="DC118">
        <f t="shared" si="26"/>
        <v>0</v>
      </c>
      <c r="DD118">
        <f t="shared" si="27"/>
        <v>0</v>
      </c>
      <c r="DE118">
        <f t="shared" si="28"/>
        <v>0</v>
      </c>
      <c r="DF118">
        <f t="shared" si="20"/>
        <v>2517.4899999999998</v>
      </c>
    </row>
    <row r="119" spans="1:110"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f t="shared" si="21"/>
        <v>0</v>
      </c>
      <c r="CY119">
        <f t="shared" si="22"/>
        <v>0</v>
      </c>
      <c r="CZ119">
        <f t="shared" si="23"/>
        <v>0</v>
      </c>
      <c r="DA119">
        <f t="shared" si="24"/>
        <v>0</v>
      </c>
      <c r="DB119">
        <f t="shared" si="25"/>
        <v>0</v>
      </c>
      <c r="DC119">
        <f t="shared" si="26"/>
        <v>0</v>
      </c>
      <c r="DD119">
        <f t="shared" si="27"/>
        <v>1850.92</v>
      </c>
      <c r="DE119">
        <f t="shared" si="28"/>
        <v>751.26</v>
      </c>
      <c r="DF119">
        <f t="shared" si="20"/>
        <v>2602.1800000000003</v>
      </c>
    </row>
    <row r="120" spans="1:110"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f t="shared" si="21"/>
        <v>0</v>
      </c>
      <c r="CY120">
        <f t="shared" si="22"/>
        <v>0</v>
      </c>
      <c r="CZ120">
        <f t="shared" si="23"/>
        <v>0</v>
      </c>
      <c r="DA120">
        <f t="shared" si="24"/>
        <v>0</v>
      </c>
      <c r="DB120">
        <f t="shared" si="25"/>
        <v>0</v>
      </c>
      <c r="DC120">
        <f t="shared" si="26"/>
        <v>6669.01</v>
      </c>
      <c r="DD120">
        <f t="shared" si="27"/>
        <v>0</v>
      </c>
      <c r="DE120">
        <f t="shared" si="28"/>
        <v>0</v>
      </c>
      <c r="DF120">
        <f t="shared" si="20"/>
        <v>6669.01</v>
      </c>
    </row>
    <row r="121" spans="1:110"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f t="shared" si="21"/>
        <v>0</v>
      </c>
      <c r="CY121">
        <f t="shared" si="22"/>
        <v>0</v>
      </c>
      <c r="CZ121">
        <f t="shared" si="23"/>
        <v>0</v>
      </c>
      <c r="DA121">
        <f t="shared" si="24"/>
        <v>0</v>
      </c>
      <c r="DB121">
        <f t="shared" si="25"/>
        <v>3941.74</v>
      </c>
      <c r="DC121">
        <f t="shared" si="26"/>
        <v>0</v>
      </c>
      <c r="DD121">
        <f t="shared" si="27"/>
        <v>0</v>
      </c>
      <c r="DE121">
        <f t="shared" si="28"/>
        <v>0</v>
      </c>
      <c r="DF121">
        <f t="shared" si="20"/>
        <v>3941.74</v>
      </c>
    </row>
    <row r="122" spans="1:110"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f t="shared" si="21"/>
        <v>0</v>
      </c>
      <c r="CY122">
        <f t="shared" si="22"/>
        <v>0</v>
      </c>
      <c r="CZ122">
        <f t="shared" si="23"/>
        <v>0</v>
      </c>
      <c r="DA122">
        <f t="shared" si="24"/>
        <v>0</v>
      </c>
      <c r="DB122">
        <f t="shared" si="25"/>
        <v>2886.5199999999995</v>
      </c>
      <c r="DC122">
        <f t="shared" si="26"/>
        <v>3862.4700000000003</v>
      </c>
      <c r="DD122">
        <f t="shared" si="27"/>
        <v>139.62</v>
      </c>
      <c r="DE122">
        <f t="shared" si="28"/>
        <v>0</v>
      </c>
      <c r="DF122">
        <f t="shared" si="20"/>
        <v>6888.61</v>
      </c>
    </row>
    <row r="123" spans="1:110"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f t="shared" si="21"/>
        <v>0</v>
      </c>
      <c r="CY123">
        <f t="shared" si="22"/>
        <v>0</v>
      </c>
      <c r="CZ123">
        <f t="shared" si="23"/>
        <v>3264.49</v>
      </c>
      <c r="DA123">
        <f t="shared" si="24"/>
        <v>0</v>
      </c>
      <c r="DB123">
        <f t="shared" si="25"/>
        <v>0</v>
      </c>
      <c r="DC123">
        <f t="shared" si="26"/>
        <v>0</v>
      </c>
      <c r="DD123">
        <f t="shared" si="27"/>
        <v>0</v>
      </c>
      <c r="DE123">
        <f t="shared" si="28"/>
        <v>0</v>
      </c>
      <c r="DF123">
        <f t="shared" si="20"/>
        <v>3264.49</v>
      </c>
    </row>
    <row r="124" spans="1:110"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f t="shared" si="21"/>
        <v>0</v>
      </c>
      <c r="CY124">
        <f t="shared" si="22"/>
        <v>0</v>
      </c>
      <c r="CZ124">
        <f t="shared" si="23"/>
        <v>0</v>
      </c>
      <c r="DA124">
        <f t="shared" si="24"/>
        <v>4280.0499999999993</v>
      </c>
      <c r="DB124">
        <f t="shared" si="25"/>
        <v>7102.17</v>
      </c>
      <c r="DC124">
        <f t="shared" si="26"/>
        <v>1143.44</v>
      </c>
      <c r="DD124">
        <f t="shared" si="27"/>
        <v>0</v>
      </c>
      <c r="DE124">
        <f t="shared" si="28"/>
        <v>0</v>
      </c>
      <c r="DF124">
        <f t="shared" si="20"/>
        <v>12525.659999999998</v>
      </c>
    </row>
    <row r="125" spans="1:110"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f t="shared" si="21"/>
        <v>0</v>
      </c>
      <c r="CY125">
        <f t="shared" si="22"/>
        <v>0</v>
      </c>
      <c r="CZ125">
        <f t="shared" si="23"/>
        <v>5514.77</v>
      </c>
      <c r="DA125">
        <f t="shared" si="24"/>
        <v>0</v>
      </c>
      <c r="DB125">
        <f t="shared" si="25"/>
        <v>0</v>
      </c>
      <c r="DC125">
        <f t="shared" si="26"/>
        <v>0</v>
      </c>
      <c r="DD125">
        <f t="shared" si="27"/>
        <v>0</v>
      </c>
      <c r="DE125">
        <f t="shared" si="28"/>
        <v>0</v>
      </c>
      <c r="DF125">
        <f t="shared" si="20"/>
        <v>5514.77</v>
      </c>
    </row>
    <row r="126" spans="1:110"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f t="shared" si="21"/>
        <v>0</v>
      </c>
      <c r="CY126">
        <f t="shared" si="22"/>
        <v>0</v>
      </c>
      <c r="CZ126">
        <f t="shared" si="23"/>
        <v>0</v>
      </c>
      <c r="DA126">
        <f t="shared" si="24"/>
        <v>0</v>
      </c>
      <c r="DB126">
        <f t="shared" si="25"/>
        <v>8952.56</v>
      </c>
      <c r="DC126">
        <f t="shared" si="26"/>
        <v>0</v>
      </c>
      <c r="DD126">
        <f t="shared" si="27"/>
        <v>0</v>
      </c>
      <c r="DE126">
        <f t="shared" si="28"/>
        <v>0</v>
      </c>
      <c r="DF126">
        <f t="shared" si="20"/>
        <v>8952.56</v>
      </c>
    </row>
    <row r="127" spans="1:110"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f t="shared" si="21"/>
        <v>0</v>
      </c>
      <c r="CY127">
        <f t="shared" si="22"/>
        <v>0</v>
      </c>
      <c r="CZ127">
        <f t="shared" si="23"/>
        <v>0</v>
      </c>
      <c r="DA127">
        <f t="shared" si="24"/>
        <v>0</v>
      </c>
      <c r="DB127">
        <f t="shared" si="25"/>
        <v>0</v>
      </c>
      <c r="DC127">
        <f t="shared" si="26"/>
        <v>0</v>
      </c>
      <c r="DD127">
        <f t="shared" si="27"/>
        <v>0</v>
      </c>
      <c r="DE127">
        <f t="shared" si="28"/>
        <v>1534</v>
      </c>
      <c r="DF127">
        <f t="shared" si="20"/>
        <v>1534</v>
      </c>
    </row>
    <row r="128" spans="1:110"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f t="shared" si="21"/>
        <v>0</v>
      </c>
      <c r="CY128">
        <f t="shared" si="22"/>
        <v>0</v>
      </c>
      <c r="CZ128">
        <f t="shared" si="23"/>
        <v>0</v>
      </c>
      <c r="DA128">
        <f t="shared" si="24"/>
        <v>0</v>
      </c>
      <c r="DB128">
        <f t="shared" si="25"/>
        <v>0</v>
      </c>
      <c r="DC128">
        <f t="shared" si="26"/>
        <v>9145.76</v>
      </c>
      <c r="DD128">
        <f t="shared" si="27"/>
        <v>2352.5100000000002</v>
      </c>
      <c r="DE128">
        <f t="shared" si="28"/>
        <v>0</v>
      </c>
      <c r="DF128">
        <f t="shared" si="20"/>
        <v>11498.27</v>
      </c>
    </row>
    <row r="129" spans="1:110"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f t="shared" si="21"/>
        <v>0</v>
      </c>
      <c r="CY129">
        <f t="shared" si="22"/>
        <v>0</v>
      </c>
      <c r="CZ129">
        <f t="shared" si="23"/>
        <v>0</v>
      </c>
      <c r="DA129">
        <f t="shared" si="24"/>
        <v>0</v>
      </c>
      <c r="DB129">
        <f t="shared" si="25"/>
        <v>0</v>
      </c>
      <c r="DC129">
        <f t="shared" si="26"/>
        <v>0</v>
      </c>
      <c r="DD129">
        <f t="shared" si="27"/>
        <v>0</v>
      </c>
      <c r="DE129">
        <f t="shared" si="28"/>
        <v>6757.5999999999995</v>
      </c>
      <c r="DF129">
        <f t="shared" si="20"/>
        <v>6757.5999999999995</v>
      </c>
    </row>
    <row r="130" spans="1:110"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f t="shared" si="21"/>
        <v>0</v>
      </c>
      <c r="CY130">
        <f t="shared" si="22"/>
        <v>0</v>
      </c>
      <c r="CZ130">
        <f t="shared" si="23"/>
        <v>0</v>
      </c>
      <c r="DA130">
        <f t="shared" si="24"/>
        <v>5224.33</v>
      </c>
      <c r="DB130">
        <f t="shared" si="25"/>
        <v>0</v>
      </c>
      <c r="DC130">
        <f t="shared" si="26"/>
        <v>0</v>
      </c>
      <c r="DD130">
        <f t="shared" si="27"/>
        <v>0</v>
      </c>
      <c r="DE130">
        <f t="shared" si="28"/>
        <v>0</v>
      </c>
      <c r="DF130">
        <f t="shared" si="20"/>
        <v>5224.33</v>
      </c>
    </row>
    <row r="131" spans="1:110"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f t="shared" si="21"/>
        <v>0</v>
      </c>
      <c r="CY131">
        <f t="shared" si="22"/>
        <v>0</v>
      </c>
      <c r="CZ131">
        <f t="shared" si="23"/>
        <v>0</v>
      </c>
      <c r="DA131">
        <f t="shared" si="24"/>
        <v>0</v>
      </c>
      <c r="DB131">
        <f t="shared" si="25"/>
        <v>0</v>
      </c>
      <c r="DC131">
        <f t="shared" si="26"/>
        <v>0</v>
      </c>
      <c r="DD131">
        <f t="shared" si="27"/>
        <v>1757.1799999999998</v>
      </c>
      <c r="DE131">
        <f t="shared" si="28"/>
        <v>1908.04</v>
      </c>
      <c r="DF131">
        <f t="shared" ref="DF131:DF194" si="29">SUM(F131:CW131)</f>
        <v>3665.22</v>
      </c>
    </row>
    <row r="132" spans="1:110"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f t="shared" ref="CX132:CX195" si="30">SUM(F132:Q132)</f>
        <v>0</v>
      </c>
      <c r="CY132">
        <f t="shared" ref="CY132:CY195" si="31">SUM(R132:AC132)</f>
        <v>0</v>
      </c>
      <c r="CZ132">
        <f t="shared" ref="CZ132:CZ195" si="32">SUM(AD132:AO132)</f>
        <v>0</v>
      </c>
      <c r="DA132">
        <f t="shared" ref="DA132:DA195" si="33">SUM(AP132:BA132)</f>
        <v>0</v>
      </c>
      <c r="DB132">
        <f t="shared" ref="DB132:DB195" si="34">SUM(BB132:BM132)</f>
        <v>0</v>
      </c>
      <c r="DC132">
        <f t="shared" ref="DC132:DC195" si="35">SUM(BN132:BY132)</f>
        <v>0</v>
      </c>
      <c r="DD132">
        <f t="shared" ref="DD132:DD195" si="36">SUM(BZ132:CK132)</f>
        <v>877.23</v>
      </c>
      <c r="DE132">
        <f t="shared" ref="DE132:DE195" si="37">SUM(CL132:CW132)</f>
        <v>7771.68</v>
      </c>
      <c r="DF132">
        <f t="shared" si="29"/>
        <v>8648.91</v>
      </c>
    </row>
    <row r="133" spans="1:110"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f t="shared" si="30"/>
        <v>0</v>
      </c>
      <c r="CY133">
        <f t="shared" si="31"/>
        <v>0</v>
      </c>
      <c r="CZ133">
        <f t="shared" si="32"/>
        <v>0</v>
      </c>
      <c r="DA133">
        <f t="shared" si="33"/>
        <v>0</v>
      </c>
      <c r="DB133">
        <f t="shared" si="34"/>
        <v>0</v>
      </c>
      <c r="DC133">
        <f t="shared" si="35"/>
        <v>0</v>
      </c>
      <c r="DD133">
        <f t="shared" si="36"/>
        <v>0</v>
      </c>
      <c r="DE133">
        <f t="shared" si="37"/>
        <v>1212.8699999999999</v>
      </c>
      <c r="DF133">
        <f t="shared" si="29"/>
        <v>1212.8699999999999</v>
      </c>
    </row>
    <row r="134" spans="1:110"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f t="shared" si="30"/>
        <v>0</v>
      </c>
      <c r="CY134">
        <f t="shared" si="31"/>
        <v>0</v>
      </c>
      <c r="CZ134">
        <f t="shared" si="32"/>
        <v>0</v>
      </c>
      <c r="DA134">
        <f t="shared" si="33"/>
        <v>0</v>
      </c>
      <c r="DB134">
        <f t="shared" si="34"/>
        <v>0</v>
      </c>
      <c r="DC134">
        <f t="shared" si="35"/>
        <v>3813.7</v>
      </c>
      <c r="DD134">
        <f t="shared" si="36"/>
        <v>227.67</v>
      </c>
      <c r="DE134">
        <f t="shared" si="37"/>
        <v>0</v>
      </c>
      <c r="DF134">
        <f t="shared" si="29"/>
        <v>4041.37</v>
      </c>
    </row>
    <row r="135" spans="1:110"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f t="shared" si="30"/>
        <v>0</v>
      </c>
      <c r="CY135">
        <f t="shared" si="31"/>
        <v>0</v>
      </c>
      <c r="CZ135">
        <f t="shared" si="32"/>
        <v>1256.94</v>
      </c>
      <c r="DA135">
        <f t="shared" si="33"/>
        <v>548.39</v>
      </c>
      <c r="DB135">
        <f t="shared" si="34"/>
        <v>0</v>
      </c>
      <c r="DC135">
        <f t="shared" si="35"/>
        <v>0</v>
      </c>
      <c r="DD135">
        <f t="shared" si="36"/>
        <v>0</v>
      </c>
      <c r="DE135">
        <f t="shared" si="37"/>
        <v>0</v>
      </c>
      <c r="DF135">
        <f t="shared" si="29"/>
        <v>1805.33</v>
      </c>
    </row>
    <row r="136" spans="1:110"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f t="shared" si="30"/>
        <v>2258.39</v>
      </c>
      <c r="CY136">
        <f t="shared" si="31"/>
        <v>2638.21</v>
      </c>
      <c r="CZ136">
        <f t="shared" si="32"/>
        <v>0</v>
      </c>
      <c r="DA136">
        <f t="shared" si="33"/>
        <v>0</v>
      </c>
      <c r="DB136">
        <f t="shared" si="34"/>
        <v>0</v>
      </c>
      <c r="DC136">
        <f t="shared" si="35"/>
        <v>0</v>
      </c>
      <c r="DD136">
        <f t="shared" si="36"/>
        <v>0</v>
      </c>
      <c r="DE136">
        <f t="shared" si="37"/>
        <v>0</v>
      </c>
      <c r="DF136">
        <f t="shared" si="29"/>
        <v>4896.5999999999995</v>
      </c>
    </row>
    <row r="137" spans="1:110"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f t="shared" si="30"/>
        <v>0</v>
      </c>
      <c r="CY137">
        <f t="shared" si="31"/>
        <v>4165.09</v>
      </c>
      <c r="CZ137">
        <f t="shared" si="32"/>
        <v>280.02</v>
      </c>
      <c r="DA137">
        <f t="shared" si="33"/>
        <v>0</v>
      </c>
      <c r="DB137">
        <f t="shared" si="34"/>
        <v>0</v>
      </c>
      <c r="DC137">
        <f t="shared" si="35"/>
        <v>0</v>
      </c>
      <c r="DD137">
        <f t="shared" si="36"/>
        <v>0</v>
      </c>
      <c r="DE137">
        <f t="shared" si="37"/>
        <v>0</v>
      </c>
      <c r="DF137">
        <f t="shared" si="29"/>
        <v>4445.1100000000006</v>
      </c>
    </row>
    <row r="138" spans="1:110"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f t="shared" si="30"/>
        <v>0</v>
      </c>
      <c r="CY138">
        <f t="shared" si="31"/>
        <v>0</v>
      </c>
      <c r="CZ138">
        <f t="shared" si="32"/>
        <v>0</v>
      </c>
      <c r="DA138">
        <f t="shared" si="33"/>
        <v>0</v>
      </c>
      <c r="DB138">
        <f t="shared" si="34"/>
        <v>0</v>
      </c>
      <c r="DC138">
        <f t="shared" si="35"/>
        <v>0</v>
      </c>
      <c r="DD138">
        <f t="shared" si="36"/>
        <v>1310.42</v>
      </c>
      <c r="DE138">
        <f t="shared" si="37"/>
        <v>4346.6799999999994</v>
      </c>
      <c r="DF138">
        <f t="shared" si="29"/>
        <v>5657.0999999999995</v>
      </c>
    </row>
    <row r="139" spans="1:110"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f t="shared" si="30"/>
        <v>0</v>
      </c>
      <c r="CY139">
        <f t="shared" si="31"/>
        <v>0</v>
      </c>
      <c r="CZ139">
        <f t="shared" si="32"/>
        <v>0</v>
      </c>
      <c r="DA139">
        <f t="shared" si="33"/>
        <v>4529.25</v>
      </c>
      <c r="DB139">
        <f t="shared" si="34"/>
        <v>12814.41</v>
      </c>
      <c r="DC139">
        <f t="shared" si="35"/>
        <v>0</v>
      </c>
      <c r="DD139">
        <f t="shared" si="36"/>
        <v>0</v>
      </c>
      <c r="DE139">
        <f t="shared" si="37"/>
        <v>0</v>
      </c>
      <c r="DF139">
        <f t="shared" si="29"/>
        <v>17343.660000000003</v>
      </c>
    </row>
    <row r="140" spans="1:110"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f t="shared" si="30"/>
        <v>0</v>
      </c>
      <c r="CY140">
        <f t="shared" si="31"/>
        <v>0</v>
      </c>
      <c r="CZ140">
        <f t="shared" si="32"/>
        <v>3142.7300000000005</v>
      </c>
      <c r="DA140">
        <f t="shared" si="33"/>
        <v>0</v>
      </c>
      <c r="DB140">
        <f t="shared" si="34"/>
        <v>0</v>
      </c>
      <c r="DC140">
        <f t="shared" si="35"/>
        <v>0</v>
      </c>
      <c r="DD140">
        <f t="shared" si="36"/>
        <v>0</v>
      </c>
      <c r="DE140">
        <f t="shared" si="37"/>
        <v>0</v>
      </c>
      <c r="DF140">
        <f t="shared" si="29"/>
        <v>3142.7300000000005</v>
      </c>
    </row>
    <row r="141" spans="1:110"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f t="shared" si="30"/>
        <v>0</v>
      </c>
      <c r="CY141">
        <f t="shared" si="31"/>
        <v>0</v>
      </c>
      <c r="CZ141">
        <f t="shared" si="32"/>
        <v>0</v>
      </c>
      <c r="DA141">
        <f t="shared" si="33"/>
        <v>1612.6</v>
      </c>
      <c r="DB141">
        <f t="shared" si="34"/>
        <v>5474.52</v>
      </c>
      <c r="DC141">
        <f t="shared" si="35"/>
        <v>1801.59</v>
      </c>
      <c r="DD141">
        <f t="shared" si="36"/>
        <v>0</v>
      </c>
      <c r="DE141">
        <f t="shared" si="37"/>
        <v>0</v>
      </c>
      <c r="DF141">
        <f t="shared" si="29"/>
        <v>8888.7099999999991</v>
      </c>
    </row>
    <row r="142" spans="1:110"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f t="shared" si="30"/>
        <v>0</v>
      </c>
      <c r="CY142">
        <f t="shared" si="31"/>
        <v>0</v>
      </c>
      <c r="CZ142">
        <f t="shared" si="32"/>
        <v>0</v>
      </c>
      <c r="DA142">
        <f t="shared" si="33"/>
        <v>0</v>
      </c>
      <c r="DB142">
        <f t="shared" si="34"/>
        <v>3498.7300000000005</v>
      </c>
      <c r="DC142">
        <f t="shared" si="35"/>
        <v>0</v>
      </c>
      <c r="DD142">
        <f t="shared" si="36"/>
        <v>0</v>
      </c>
      <c r="DE142">
        <f t="shared" si="37"/>
        <v>0</v>
      </c>
      <c r="DF142">
        <f t="shared" si="29"/>
        <v>3498.7300000000005</v>
      </c>
    </row>
    <row r="143" spans="1:110"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f t="shared" si="30"/>
        <v>0</v>
      </c>
      <c r="CY143">
        <f t="shared" si="31"/>
        <v>0</v>
      </c>
      <c r="CZ143">
        <f t="shared" si="32"/>
        <v>36659.35</v>
      </c>
      <c r="DA143">
        <f t="shared" si="33"/>
        <v>11676.31</v>
      </c>
      <c r="DB143">
        <f t="shared" si="34"/>
        <v>0</v>
      </c>
      <c r="DC143">
        <f t="shared" si="35"/>
        <v>0</v>
      </c>
      <c r="DD143">
        <f t="shared" si="36"/>
        <v>0</v>
      </c>
      <c r="DE143">
        <f t="shared" si="37"/>
        <v>0</v>
      </c>
      <c r="DF143">
        <f t="shared" si="29"/>
        <v>48335.66</v>
      </c>
    </row>
    <row r="144" spans="1:110"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f t="shared" si="30"/>
        <v>0</v>
      </c>
      <c r="CY144">
        <f t="shared" si="31"/>
        <v>0</v>
      </c>
      <c r="CZ144">
        <f t="shared" si="32"/>
        <v>0</v>
      </c>
      <c r="DA144">
        <f t="shared" si="33"/>
        <v>0</v>
      </c>
      <c r="DB144">
        <f t="shared" si="34"/>
        <v>0</v>
      </c>
      <c r="DC144">
        <f t="shared" si="35"/>
        <v>4643.96</v>
      </c>
      <c r="DD144">
        <f t="shared" si="36"/>
        <v>0</v>
      </c>
      <c r="DE144">
        <f t="shared" si="37"/>
        <v>0</v>
      </c>
      <c r="DF144">
        <f t="shared" si="29"/>
        <v>4643.96</v>
      </c>
    </row>
    <row r="145" spans="1:110"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f t="shared" si="30"/>
        <v>0</v>
      </c>
      <c r="CY145">
        <f t="shared" si="31"/>
        <v>0</v>
      </c>
      <c r="CZ145">
        <f t="shared" si="32"/>
        <v>0</v>
      </c>
      <c r="DA145">
        <f t="shared" si="33"/>
        <v>0</v>
      </c>
      <c r="DB145">
        <f t="shared" si="34"/>
        <v>0</v>
      </c>
      <c r="DC145">
        <f t="shared" si="35"/>
        <v>0</v>
      </c>
      <c r="DD145">
        <f t="shared" si="36"/>
        <v>0</v>
      </c>
      <c r="DE145">
        <f t="shared" si="37"/>
        <v>915.64</v>
      </c>
      <c r="DF145">
        <f t="shared" si="29"/>
        <v>915.64</v>
      </c>
    </row>
    <row r="146" spans="1:110"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f t="shared" si="30"/>
        <v>0</v>
      </c>
      <c r="CY146">
        <f t="shared" si="31"/>
        <v>0</v>
      </c>
      <c r="CZ146">
        <f t="shared" si="32"/>
        <v>0</v>
      </c>
      <c r="DA146">
        <f t="shared" si="33"/>
        <v>0</v>
      </c>
      <c r="DB146">
        <f t="shared" si="34"/>
        <v>0</v>
      </c>
      <c r="DC146">
        <f t="shared" si="35"/>
        <v>7085.99</v>
      </c>
      <c r="DD146">
        <f t="shared" si="36"/>
        <v>0</v>
      </c>
      <c r="DE146">
        <f t="shared" si="37"/>
        <v>0</v>
      </c>
      <c r="DF146">
        <f t="shared" si="29"/>
        <v>7085.99</v>
      </c>
    </row>
    <row r="147" spans="1:110"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f t="shared" si="30"/>
        <v>0</v>
      </c>
      <c r="CY147">
        <f t="shared" si="31"/>
        <v>0</v>
      </c>
      <c r="CZ147">
        <f t="shared" si="32"/>
        <v>0</v>
      </c>
      <c r="DA147">
        <f t="shared" si="33"/>
        <v>0</v>
      </c>
      <c r="DB147">
        <f t="shared" si="34"/>
        <v>0</v>
      </c>
      <c r="DC147">
        <f t="shared" si="35"/>
        <v>0</v>
      </c>
      <c r="DD147">
        <f t="shared" si="36"/>
        <v>3829.14</v>
      </c>
      <c r="DE147">
        <f t="shared" si="37"/>
        <v>872.22</v>
      </c>
      <c r="DF147">
        <f t="shared" si="29"/>
        <v>4701.3599999999997</v>
      </c>
    </row>
    <row r="148" spans="1:110"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f t="shared" si="30"/>
        <v>0</v>
      </c>
      <c r="CY148">
        <f t="shared" si="31"/>
        <v>0</v>
      </c>
      <c r="CZ148">
        <f t="shared" si="32"/>
        <v>0</v>
      </c>
      <c r="DA148">
        <f t="shared" si="33"/>
        <v>0</v>
      </c>
      <c r="DB148">
        <f t="shared" si="34"/>
        <v>0</v>
      </c>
      <c r="DC148">
        <f t="shared" si="35"/>
        <v>0</v>
      </c>
      <c r="DD148">
        <f t="shared" si="36"/>
        <v>0</v>
      </c>
      <c r="DE148">
        <f t="shared" si="37"/>
        <v>2133.7800000000002</v>
      </c>
      <c r="DF148">
        <f t="shared" si="29"/>
        <v>2133.7800000000002</v>
      </c>
    </row>
    <row r="149" spans="1:110"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f t="shared" si="30"/>
        <v>0</v>
      </c>
      <c r="CY149">
        <f t="shared" si="31"/>
        <v>0</v>
      </c>
      <c r="CZ149">
        <f t="shared" si="32"/>
        <v>2784.56</v>
      </c>
      <c r="DA149">
        <f t="shared" si="33"/>
        <v>0</v>
      </c>
      <c r="DB149">
        <f t="shared" si="34"/>
        <v>0</v>
      </c>
      <c r="DC149">
        <f t="shared" si="35"/>
        <v>0</v>
      </c>
      <c r="DD149">
        <f t="shared" si="36"/>
        <v>0</v>
      </c>
      <c r="DE149">
        <f t="shared" si="37"/>
        <v>0</v>
      </c>
      <c r="DF149">
        <f t="shared" si="29"/>
        <v>2784.56</v>
      </c>
    </row>
    <row r="150" spans="1:110"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f t="shared" si="30"/>
        <v>0</v>
      </c>
      <c r="CY150">
        <f t="shared" si="31"/>
        <v>6595.49</v>
      </c>
      <c r="CZ150">
        <f t="shared" si="32"/>
        <v>604.07000000000005</v>
      </c>
      <c r="DA150">
        <f t="shared" si="33"/>
        <v>0</v>
      </c>
      <c r="DB150">
        <f t="shared" si="34"/>
        <v>0</v>
      </c>
      <c r="DC150">
        <f t="shared" si="35"/>
        <v>0</v>
      </c>
      <c r="DD150">
        <f t="shared" si="36"/>
        <v>0</v>
      </c>
      <c r="DE150">
        <f t="shared" si="37"/>
        <v>0</v>
      </c>
      <c r="DF150">
        <f t="shared" si="29"/>
        <v>7199.5599999999995</v>
      </c>
    </row>
    <row r="151" spans="1:110"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f t="shared" si="30"/>
        <v>0</v>
      </c>
      <c r="CY151">
        <f t="shared" si="31"/>
        <v>0</v>
      </c>
      <c r="CZ151">
        <f t="shared" si="32"/>
        <v>0</v>
      </c>
      <c r="DA151">
        <f t="shared" si="33"/>
        <v>0</v>
      </c>
      <c r="DB151">
        <f t="shared" si="34"/>
        <v>3511.05</v>
      </c>
      <c r="DC151">
        <f t="shared" si="35"/>
        <v>0</v>
      </c>
      <c r="DD151">
        <f t="shared" si="36"/>
        <v>0</v>
      </c>
      <c r="DE151">
        <f t="shared" si="37"/>
        <v>0</v>
      </c>
      <c r="DF151">
        <f t="shared" si="29"/>
        <v>3511.05</v>
      </c>
    </row>
    <row r="152" spans="1:110"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f t="shared" si="30"/>
        <v>0</v>
      </c>
      <c r="CY152">
        <f t="shared" si="31"/>
        <v>0</v>
      </c>
      <c r="CZ152">
        <f t="shared" si="32"/>
        <v>0</v>
      </c>
      <c r="DA152">
        <f t="shared" si="33"/>
        <v>0</v>
      </c>
      <c r="DB152">
        <f t="shared" si="34"/>
        <v>0</v>
      </c>
      <c r="DC152">
        <f t="shared" si="35"/>
        <v>5251.1</v>
      </c>
      <c r="DD152">
        <f t="shared" si="36"/>
        <v>758.12</v>
      </c>
      <c r="DE152">
        <f t="shared" si="37"/>
        <v>0</v>
      </c>
      <c r="DF152">
        <f t="shared" si="29"/>
        <v>6009.22</v>
      </c>
    </row>
    <row r="153" spans="1:110"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f t="shared" si="30"/>
        <v>0</v>
      </c>
      <c r="CY153">
        <f t="shared" si="31"/>
        <v>0</v>
      </c>
      <c r="CZ153">
        <f t="shared" si="32"/>
        <v>0</v>
      </c>
      <c r="DA153">
        <f t="shared" si="33"/>
        <v>0</v>
      </c>
      <c r="DB153">
        <f t="shared" si="34"/>
        <v>0</v>
      </c>
      <c r="DC153">
        <f t="shared" si="35"/>
        <v>0</v>
      </c>
      <c r="DD153">
        <f t="shared" si="36"/>
        <v>0</v>
      </c>
      <c r="DE153">
        <f t="shared" si="37"/>
        <v>4937.75</v>
      </c>
      <c r="DF153">
        <f t="shared" si="29"/>
        <v>4937.75</v>
      </c>
    </row>
    <row r="154" spans="1:110"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f t="shared" si="30"/>
        <v>0</v>
      </c>
      <c r="CY154">
        <f t="shared" si="31"/>
        <v>0</v>
      </c>
      <c r="CZ154">
        <f t="shared" si="32"/>
        <v>0</v>
      </c>
      <c r="DA154">
        <f t="shared" si="33"/>
        <v>8804.18</v>
      </c>
      <c r="DB154">
        <f t="shared" si="34"/>
        <v>0</v>
      </c>
      <c r="DC154">
        <f t="shared" si="35"/>
        <v>0</v>
      </c>
      <c r="DD154">
        <f t="shared" si="36"/>
        <v>0</v>
      </c>
      <c r="DE154">
        <f t="shared" si="37"/>
        <v>0</v>
      </c>
      <c r="DF154">
        <f t="shared" si="29"/>
        <v>8804.18</v>
      </c>
    </row>
    <row r="155" spans="1:110"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f t="shared" si="30"/>
        <v>0</v>
      </c>
      <c r="CY155">
        <f t="shared" si="31"/>
        <v>0</v>
      </c>
      <c r="CZ155">
        <f t="shared" si="32"/>
        <v>0</v>
      </c>
      <c r="DA155">
        <f t="shared" si="33"/>
        <v>0</v>
      </c>
      <c r="DB155">
        <f t="shared" si="34"/>
        <v>0</v>
      </c>
      <c r="DC155">
        <f t="shared" si="35"/>
        <v>6931.2</v>
      </c>
      <c r="DD155">
        <f t="shared" si="36"/>
        <v>0</v>
      </c>
      <c r="DE155">
        <f t="shared" si="37"/>
        <v>0</v>
      </c>
      <c r="DF155">
        <f t="shared" si="29"/>
        <v>6931.2</v>
      </c>
    </row>
    <row r="156" spans="1:110"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f t="shared" si="30"/>
        <v>0</v>
      </c>
      <c r="CY156">
        <f t="shared" si="31"/>
        <v>5545.92</v>
      </c>
      <c r="CZ156">
        <f t="shared" si="32"/>
        <v>1126.01</v>
      </c>
      <c r="DA156">
        <f t="shared" si="33"/>
        <v>0</v>
      </c>
      <c r="DB156">
        <f t="shared" si="34"/>
        <v>0</v>
      </c>
      <c r="DC156">
        <f t="shared" si="35"/>
        <v>0</v>
      </c>
      <c r="DD156">
        <f t="shared" si="36"/>
        <v>0</v>
      </c>
      <c r="DE156">
        <f t="shared" si="37"/>
        <v>0</v>
      </c>
      <c r="DF156">
        <f t="shared" si="29"/>
        <v>6671.93</v>
      </c>
    </row>
    <row r="157" spans="1:110"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f t="shared" si="30"/>
        <v>0</v>
      </c>
      <c r="CY157">
        <f t="shared" si="31"/>
        <v>4573.3</v>
      </c>
      <c r="CZ157">
        <f t="shared" si="32"/>
        <v>680.27</v>
      </c>
      <c r="DA157">
        <f t="shared" si="33"/>
        <v>0</v>
      </c>
      <c r="DB157">
        <f t="shared" si="34"/>
        <v>0</v>
      </c>
      <c r="DC157">
        <f t="shared" si="35"/>
        <v>0</v>
      </c>
      <c r="DD157">
        <f t="shared" si="36"/>
        <v>0</v>
      </c>
      <c r="DE157">
        <f t="shared" si="37"/>
        <v>0</v>
      </c>
      <c r="DF157">
        <f t="shared" si="29"/>
        <v>5253.57</v>
      </c>
    </row>
    <row r="158" spans="1:110"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f t="shared" si="30"/>
        <v>0</v>
      </c>
      <c r="CY158">
        <f t="shared" si="31"/>
        <v>0</v>
      </c>
      <c r="CZ158">
        <f t="shared" si="32"/>
        <v>0</v>
      </c>
      <c r="DA158">
        <f t="shared" si="33"/>
        <v>0</v>
      </c>
      <c r="DB158">
        <f t="shared" si="34"/>
        <v>0</v>
      </c>
      <c r="DC158">
        <f t="shared" si="35"/>
        <v>0</v>
      </c>
      <c r="DD158">
        <f t="shared" si="36"/>
        <v>3432.29</v>
      </c>
      <c r="DE158">
        <f t="shared" si="37"/>
        <v>0</v>
      </c>
      <c r="DF158">
        <f t="shared" si="29"/>
        <v>3432.29</v>
      </c>
    </row>
    <row r="159" spans="1:110"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f t="shared" si="30"/>
        <v>0</v>
      </c>
      <c r="CY159">
        <f t="shared" si="31"/>
        <v>0</v>
      </c>
      <c r="CZ159">
        <f t="shared" si="32"/>
        <v>11826.5</v>
      </c>
      <c r="DA159">
        <f t="shared" si="33"/>
        <v>8806.83</v>
      </c>
      <c r="DB159">
        <f t="shared" si="34"/>
        <v>0</v>
      </c>
      <c r="DC159">
        <f t="shared" si="35"/>
        <v>0</v>
      </c>
      <c r="DD159">
        <f t="shared" si="36"/>
        <v>0</v>
      </c>
      <c r="DE159">
        <f t="shared" si="37"/>
        <v>0</v>
      </c>
      <c r="DF159">
        <f t="shared" si="29"/>
        <v>20633.330000000002</v>
      </c>
    </row>
    <row r="160" spans="1:110"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f t="shared" si="30"/>
        <v>0</v>
      </c>
      <c r="CY160">
        <f t="shared" si="31"/>
        <v>0</v>
      </c>
      <c r="CZ160">
        <f t="shared" si="32"/>
        <v>0</v>
      </c>
      <c r="DA160">
        <f t="shared" si="33"/>
        <v>0</v>
      </c>
      <c r="DB160">
        <f t="shared" si="34"/>
        <v>0</v>
      </c>
      <c r="DC160">
        <f t="shared" si="35"/>
        <v>0</v>
      </c>
      <c r="DD160">
        <f t="shared" si="36"/>
        <v>0</v>
      </c>
      <c r="DE160">
        <f t="shared" si="37"/>
        <v>1461.9499999999998</v>
      </c>
      <c r="DF160">
        <f t="shared" si="29"/>
        <v>1461.9499999999998</v>
      </c>
    </row>
    <row r="161" spans="1:110"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f t="shared" si="30"/>
        <v>0</v>
      </c>
      <c r="CY161">
        <f t="shared" si="31"/>
        <v>0</v>
      </c>
      <c r="CZ161">
        <f t="shared" si="32"/>
        <v>0</v>
      </c>
      <c r="DA161">
        <f t="shared" si="33"/>
        <v>0</v>
      </c>
      <c r="DB161">
        <f t="shared" si="34"/>
        <v>0</v>
      </c>
      <c r="DC161">
        <f t="shared" si="35"/>
        <v>1903</v>
      </c>
      <c r="DD161">
        <f t="shared" si="36"/>
        <v>294.99</v>
      </c>
      <c r="DE161">
        <f t="shared" si="37"/>
        <v>0</v>
      </c>
      <c r="DF161">
        <f t="shared" si="29"/>
        <v>2197.9899999999998</v>
      </c>
    </row>
    <row r="162" spans="1:110"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f t="shared" si="30"/>
        <v>0</v>
      </c>
      <c r="CY162">
        <f t="shared" si="31"/>
        <v>0</v>
      </c>
      <c r="CZ162">
        <f t="shared" si="32"/>
        <v>0</v>
      </c>
      <c r="DA162">
        <f t="shared" si="33"/>
        <v>4230.3899999999994</v>
      </c>
      <c r="DB162">
        <f t="shared" si="34"/>
        <v>5596.82</v>
      </c>
      <c r="DC162">
        <f t="shared" si="35"/>
        <v>0</v>
      </c>
      <c r="DD162">
        <f t="shared" si="36"/>
        <v>0</v>
      </c>
      <c r="DE162">
        <f t="shared" si="37"/>
        <v>0</v>
      </c>
      <c r="DF162">
        <f t="shared" si="29"/>
        <v>9827.2099999999991</v>
      </c>
    </row>
    <row r="163" spans="1:110"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f t="shared" si="30"/>
        <v>10505.68</v>
      </c>
      <c r="CY163">
        <f t="shared" si="31"/>
        <v>8045.59</v>
      </c>
      <c r="CZ163">
        <f t="shared" si="32"/>
        <v>995.87</v>
      </c>
      <c r="DA163">
        <f t="shared" si="33"/>
        <v>0</v>
      </c>
      <c r="DB163">
        <f t="shared" si="34"/>
        <v>0</v>
      </c>
      <c r="DC163">
        <f t="shared" si="35"/>
        <v>0</v>
      </c>
      <c r="DD163">
        <f t="shared" si="36"/>
        <v>0</v>
      </c>
      <c r="DE163">
        <f t="shared" si="37"/>
        <v>0</v>
      </c>
      <c r="DF163">
        <f t="shared" si="29"/>
        <v>19547.14</v>
      </c>
    </row>
    <row r="164" spans="1:110"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f t="shared" si="30"/>
        <v>0</v>
      </c>
      <c r="CY164">
        <f t="shared" si="31"/>
        <v>0</v>
      </c>
      <c r="CZ164">
        <f t="shared" si="32"/>
        <v>0</v>
      </c>
      <c r="DA164">
        <f t="shared" si="33"/>
        <v>289.25</v>
      </c>
      <c r="DB164">
        <f t="shared" si="34"/>
        <v>1723.77</v>
      </c>
      <c r="DC164">
        <f t="shared" si="35"/>
        <v>0</v>
      </c>
      <c r="DD164">
        <f t="shared" si="36"/>
        <v>0</v>
      </c>
      <c r="DE164">
        <f t="shared" si="37"/>
        <v>0</v>
      </c>
      <c r="DF164">
        <f t="shared" si="29"/>
        <v>2013.02</v>
      </c>
    </row>
    <row r="165" spans="1:110"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f t="shared" si="30"/>
        <v>0</v>
      </c>
      <c r="CY165">
        <f t="shared" si="31"/>
        <v>0</v>
      </c>
      <c r="CZ165">
        <f t="shared" si="32"/>
        <v>0</v>
      </c>
      <c r="DA165">
        <f t="shared" si="33"/>
        <v>0</v>
      </c>
      <c r="DB165">
        <f t="shared" si="34"/>
        <v>0</v>
      </c>
      <c r="DC165">
        <f t="shared" si="35"/>
        <v>0</v>
      </c>
      <c r="DD165">
        <f t="shared" si="36"/>
        <v>0</v>
      </c>
      <c r="DE165">
        <f t="shared" si="37"/>
        <v>3403.61</v>
      </c>
      <c r="DF165">
        <f t="shared" si="29"/>
        <v>3403.61</v>
      </c>
    </row>
    <row r="166" spans="1:110"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f t="shared" si="30"/>
        <v>0</v>
      </c>
      <c r="CY166">
        <f t="shared" si="31"/>
        <v>0</v>
      </c>
      <c r="CZ166">
        <f t="shared" si="32"/>
        <v>950.38</v>
      </c>
      <c r="DA166">
        <f t="shared" si="33"/>
        <v>3189.01</v>
      </c>
      <c r="DB166">
        <f t="shared" si="34"/>
        <v>0</v>
      </c>
      <c r="DC166">
        <f t="shared" si="35"/>
        <v>0</v>
      </c>
      <c r="DD166">
        <f t="shared" si="36"/>
        <v>0</v>
      </c>
      <c r="DE166">
        <f t="shared" si="37"/>
        <v>0</v>
      </c>
      <c r="DF166">
        <f t="shared" si="29"/>
        <v>4139.3899999999994</v>
      </c>
    </row>
    <row r="167" spans="1:110"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f t="shared" si="30"/>
        <v>0</v>
      </c>
      <c r="CY167">
        <f t="shared" si="31"/>
        <v>2980.94</v>
      </c>
      <c r="CZ167">
        <f t="shared" si="32"/>
        <v>1638.32</v>
      </c>
      <c r="DA167">
        <f t="shared" si="33"/>
        <v>0</v>
      </c>
      <c r="DB167">
        <f t="shared" si="34"/>
        <v>0</v>
      </c>
      <c r="DC167">
        <f t="shared" si="35"/>
        <v>0</v>
      </c>
      <c r="DD167">
        <f t="shared" si="36"/>
        <v>0</v>
      </c>
      <c r="DE167">
        <f t="shared" si="37"/>
        <v>0</v>
      </c>
      <c r="DF167">
        <f t="shared" si="29"/>
        <v>4619.26</v>
      </c>
    </row>
    <row r="168" spans="1:110"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f t="shared" si="30"/>
        <v>5210.28</v>
      </c>
      <c r="CY168">
        <f t="shared" si="31"/>
        <v>0</v>
      </c>
      <c r="CZ168">
        <f t="shared" si="32"/>
        <v>0</v>
      </c>
      <c r="DA168">
        <f t="shared" si="33"/>
        <v>0</v>
      </c>
      <c r="DB168">
        <f t="shared" si="34"/>
        <v>0</v>
      </c>
      <c r="DC168">
        <f t="shared" si="35"/>
        <v>0</v>
      </c>
      <c r="DD168">
        <f t="shared" si="36"/>
        <v>0</v>
      </c>
      <c r="DE168">
        <f t="shared" si="37"/>
        <v>0</v>
      </c>
      <c r="DF168">
        <f t="shared" si="29"/>
        <v>5210.28</v>
      </c>
    </row>
    <row r="169" spans="1:110"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f t="shared" si="30"/>
        <v>0</v>
      </c>
      <c r="CY169">
        <f t="shared" si="31"/>
        <v>0</v>
      </c>
      <c r="CZ169">
        <f t="shared" si="32"/>
        <v>0</v>
      </c>
      <c r="DA169">
        <f t="shared" si="33"/>
        <v>0</v>
      </c>
      <c r="DB169">
        <f t="shared" si="34"/>
        <v>0</v>
      </c>
      <c r="DC169">
        <f t="shared" si="35"/>
        <v>8228.2000000000007</v>
      </c>
      <c r="DD169">
        <f t="shared" si="36"/>
        <v>9240.880000000001</v>
      </c>
      <c r="DE169">
        <f t="shared" si="37"/>
        <v>2982.4500000000003</v>
      </c>
      <c r="DF169">
        <f t="shared" si="29"/>
        <v>20451.530000000002</v>
      </c>
    </row>
    <row r="170" spans="1:110"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f t="shared" si="30"/>
        <v>0</v>
      </c>
      <c r="CY170">
        <f t="shared" si="31"/>
        <v>0</v>
      </c>
      <c r="CZ170">
        <f t="shared" si="32"/>
        <v>0</v>
      </c>
      <c r="DA170">
        <f t="shared" si="33"/>
        <v>0</v>
      </c>
      <c r="DB170">
        <f t="shared" si="34"/>
        <v>14353.75</v>
      </c>
      <c r="DC170">
        <f t="shared" si="35"/>
        <v>51649.380000000005</v>
      </c>
      <c r="DD170">
        <f t="shared" si="36"/>
        <v>3131.7</v>
      </c>
      <c r="DE170">
        <f t="shared" si="37"/>
        <v>0</v>
      </c>
      <c r="DF170">
        <f t="shared" si="29"/>
        <v>69134.83</v>
      </c>
    </row>
    <row r="171" spans="1:110"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f t="shared" si="30"/>
        <v>0</v>
      </c>
      <c r="CY171">
        <f t="shared" si="31"/>
        <v>0</v>
      </c>
      <c r="CZ171">
        <f t="shared" si="32"/>
        <v>0</v>
      </c>
      <c r="DA171">
        <f t="shared" si="33"/>
        <v>0</v>
      </c>
      <c r="DB171">
        <f t="shared" si="34"/>
        <v>0</v>
      </c>
      <c r="DC171">
        <f t="shared" si="35"/>
        <v>0</v>
      </c>
      <c r="DD171">
        <f t="shared" si="36"/>
        <v>0</v>
      </c>
      <c r="DE171">
        <f t="shared" si="37"/>
        <v>2124.81</v>
      </c>
      <c r="DF171">
        <f t="shared" si="29"/>
        <v>2124.81</v>
      </c>
    </row>
    <row r="172" spans="1:110"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f t="shared" si="30"/>
        <v>0</v>
      </c>
      <c r="CY172">
        <f t="shared" si="31"/>
        <v>0</v>
      </c>
      <c r="CZ172">
        <f t="shared" si="32"/>
        <v>0</v>
      </c>
      <c r="DA172">
        <f t="shared" si="33"/>
        <v>0</v>
      </c>
      <c r="DB172">
        <f t="shared" si="34"/>
        <v>5136.84</v>
      </c>
      <c r="DC172">
        <f t="shared" si="35"/>
        <v>469.52</v>
      </c>
      <c r="DD172">
        <f t="shared" si="36"/>
        <v>0</v>
      </c>
      <c r="DE172">
        <f t="shared" si="37"/>
        <v>0</v>
      </c>
      <c r="DF172">
        <f t="shared" si="29"/>
        <v>5606.3600000000006</v>
      </c>
    </row>
    <row r="173" spans="1:110"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f t="shared" si="30"/>
        <v>0</v>
      </c>
      <c r="CY173">
        <f t="shared" si="31"/>
        <v>0</v>
      </c>
      <c r="CZ173">
        <f t="shared" si="32"/>
        <v>0</v>
      </c>
      <c r="DA173">
        <f t="shared" si="33"/>
        <v>0</v>
      </c>
      <c r="DB173">
        <f t="shared" si="34"/>
        <v>0</v>
      </c>
      <c r="DC173">
        <f t="shared" si="35"/>
        <v>0</v>
      </c>
      <c r="DD173">
        <f t="shared" si="36"/>
        <v>4313.6099999999997</v>
      </c>
      <c r="DE173">
        <f t="shared" si="37"/>
        <v>0</v>
      </c>
      <c r="DF173">
        <f t="shared" si="29"/>
        <v>4313.6099999999997</v>
      </c>
    </row>
    <row r="174" spans="1:110"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f t="shared" si="30"/>
        <v>836.88</v>
      </c>
      <c r="CY174">
        <f t="shared" si="31"/>
        <v>3984.89</v>
      </c>
      <c r="CZ174">
        <f t="shared" si="32"/>
        <v>0</v>
      </c>
      <c r="DA174">
        <f t="shared" si="33"/>
        <v>0</v>
      </c>
      <c r="DB174">
        <f t="shared" si="34"/>
        <v>0</v>
      </c>
      <c r="DC174">
        <f t="shared" si="35"/>
        <v>0</v>
      </c>
      <c r="DD174">
        <f t="shared" si="36"/>
        <v>0</v>
      </c>
      <c r="DE174">
        <f t="shared" si="37"/>
        <v>0</v>
      </c>
      <c r="DF174">
        <f t="shared" si="29"/>
        <v>4821.7700000000004</v>
      </c>
    </row>
    <row r="175" spans="1:110"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f t="shared" si="30"/>
        <v>0</v>
      </c>
      <c r="CY175">
        <f t="shared" si="31"/>
        <v>0</v>
      </c>
      <c r="CZ175">
        <f t="shared" si="32"/>
        <v>0</v>
      </c>
      <c r="DA175">
        <f t="shared" si="33"/>
        <v>1208.23</v>
      </c>
      <c r="DB175">
        <f t="shared" si="34"/>
        <v>5036.1900000000005</v>
      </c>
      <c r="DC175">
        <f t="shared" si="35"/>
        <v>1396.53</v>
      </c>
      <c r="DD175">
        <f t="shared" si="36"/>
        <v>0</v>
      </c>
      <c r="DE175">
        <f t="shared" si="37"/>
        <v>0</v>
      </c>
      <c r="DF175">
        <f t="shared" si="29"/>
        <v>7640.95</v>
      </c>
    </row>
    <row r="176" spans="1:110"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f t="shared" si="30"/>
        <v>0</v>
      </c>
      <c r="CY176">
        <f t="shared" si="31"/>
        <v>0</v>
      </c>
      <c r="CZ176">
        <f t="shared" si="32"/>
        <v>3091.09</v>
      </c>
      <c r="DA176">
        <f t="shared" si="33"/>
        <v>5204.8</v>
      </c>
      <c r="DB176">
        <f t="shared" si="34"/>
        <v>2211.94</v>
      </c>
      <c r="DC176">
        <f t="shared" si="35"/>
        <v>0</v>
      </c>
      <c r="DD176">
        <f t="shared" si="36"/>
        <v>0</v>
      </c>
      <c r="DE176">
        <f t="shared" si="37"/>
        <v>0</v>
      </c>
      <c r="DF176">
        <f t="shared" si="29"/>
        <v>10507.83</v>
      </c>
    </row>
    <row r="177" spans="1:110"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f t="shared" si="30"/>
        <v>0</v>
      </c>
      <c r="CY177">
        <f t="shared" si="31"/>
        <v>0</v>
      </c>
      <c r="CZ177">
        <f t="shared" si="32"/>
        <v>35769.149999999994</v>
      </c>
      <c r="DA177">
        <f t="shared" si="33"/>
        <v>26494.350000000002</v>
      </c>
      <c r="DB177">
        <f t="shared" si="34"/>
        <v>0</v>
      </c>
      <c r="DC177">
        <f t="shared" si="35"/>
        <v>0</v>
      </c>
      <c r="DD177">
        <f t="shared" si="36"/>
        <v>0</v>
      </c>
      <c r="DE177">
        <f t="shared" si="37"/>
        <v>0</v>
      </c>
      <c r="DF177">
        <f t="shared" si="29"/>
        <v>62263.5</v>
      </c>
    </row>
    <row r="178" spans="1:110"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f t="shared" si="30"/>
        <v>0</v>
      </c>
      <c r="CY178">
        <f t="shared" si="31"/>
        <v>0</v>
      </c>
      <c r="CZ178">
        <f t="shared" si="32"/>
        <v>0</v>
      </c>
      <c r="DA178">
        <f t="shared" si="33"/>
        <v>0</v>
      </c>
      <c r="DB178">
        <f t="shared" si="34"/>
        <v>0</v>
      </c>
      <c r="DC178">
        <f t="shared" si="35"/>
        <v>1878.89</v>
      </c>
      <c r="DD178">
        <f t="shared" si="36"/>
        <v>6674.1399999999994</v>
      </c>
      <c r="DE178">
        <f t="shared" si="37"/>
        <v>0</v>
      </c>
      <c r="DF178">
        <f t="shared" si="29"/>
        <v>8553.0300000000007</v>
      </c>
    </row>
    <row r="179" spans="1:110"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f t="shared" si="30"/>
        <v>0</v>
      </c>
      <c r="CY179">
        <f t="shared" si="31"/>
        <v>0</v>
      </c>
      <c r="CZ179">
        <f t="shared" si="32"/>
        <v>0</v>
      </c>
      <c r="DA179">
        <f t="shared" si="33"/>
        <v>0</v>
      </c>
      <c r="DB179">
        <f t="shared" si="34"/>
        <v>0</v>
      </c>
      <c r="DC179">
        <f t="shared" si="35"/>
        <v>0</v>
      </c>
      <c r="DD179">
        <f t="shared" si="36"/>
        <v>8743.5499999999993</v>
      </c>
      <c r="DE179">
        <f t="shared" si="37"/>
        <v>0</v>
      </c>
      <c r="DF179">
        <f t="shared" si="29"/>
        <v>8743.5499999999993</v>
      </c>
    </row>
    <row r="180" spans="1:110"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f t="shared" si="30"/>
        <v>0</v>
      </c>
      <c r="CY180">
        <f t="shared" si="31"/>
        <v>0</v>
      </c>
      <c r="CZ180">
        <f t="shared" si="32"/>
        <v>0</v>
      </c>
      <c r="DA180">
        <f t="shared" si="33"/>
        <v>4603.47</v>
      </c>
      <c r="DB180">
        <f t="shared" si="34"/>
        <v>0</v>
      </c>
      <c r="DC180">
        <f t="shared" si="35"/>
        <v>0</v>
      </c>
      <c r="DD180">
        <f t="shared" si="36"/>
        <v>0</v>
      </c>
      <c r="DE180">
        <f t="shared" si="37"/>
        <v>0</v>
      </c>
      <c r="DF180">
        <f t="shared" si="29"/>
        <v>4603.47</v>
      </c>
    </row>
    <row r="181" spans="1:110"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f t="shared" si="30"/>
        <v>0</v>
      </c>
      <c r="CY181">
        <f t="shared" si="31"/>
        <v>0</v>
      </c>
      <c r="CZ181">
        <f t="shared" si="32"/>
        <v>0</v>
      </c>
      <c r="DA181">
        <f t="shared" si="33"/>
        <v>0</v>
      </c>
      <c r="DB181">
        <f t="shared" si="34"/>
        <v>0</v>
      </c>
      <c r="DC181">
        <f t="shared" si="35"/>
        <v>0</v>
      </c>
      <c r="DD181">
        <f t="shared" si="36"/>
        <v>0</v>
      </c>
      <c r="DE181">
        <f t="shared" si="37"/>
        <v>3217.12</v>
      </c>
      <c r="DF181">
        <f t="shared" si="29"/>
        <v>3217.12</v>
      </c>
    </row>
    <row r="182" spans="1:110"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f t="shared" si="30"/>
        <v>0</v>
      </c>
      <c r="CY182">
        <f t="shared" si="31"/>
        <v>0</v>
      </c>
      <c r="CZ182">
        <f t="shared" si="32"/>
        <v>0</v>
      </c>
      <c r="DA182">
        <f t="shared" si="33"/>
        <v>0</v>
      </c>
      <c r="DB182">
        <f t="shared" si="34"/>
        <v>0</v>
      </c>
      <c r="DC182">
        <f t="shared" si="35"/>
        <v>0</v>
      </c>
      <c r="DD182">
        <f t="shared" si="36"/>
        <v>7408.2999999999993</v>
      </c>
      <c r="DE182">
        <f t="shared" si="37"/>
        <v>3348.62</v>
      </c>
      <c r="DF182">
        <f t="shared" si="29"/>
        <v>10756.92</v>
      </c>
    </row>
    <row r="183" spans="1:110"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f t="shared" si="30"/>
        <v>0</v>
      </c>
      <c r="CY183">
        <f t="shared" si="31"/>
        <v>0</v>
      </c>
      <c r="CZ183">
        <f t="shared" si="32"/>
        <v>0</v>
      </c>
      <c r="DA183">
        <f t="shared" si="33"/>
        <v>0</v>
      </c>
      <c r="DB183">
        <f t="shared" si="34"/>
        <v>4746.28</v>
      </c>
      <c r="DC183">
        <f t="shared" si="35"/>
        <v>0</v>
      </c>
      <c r="DD183">
        <f t="shared" si="36"/>
        <v>0</v>
      </c>
      <c r="DE183">
        <f t="shared" si="37"/>
        <v>0</v>
      </c>
      <c r="DF183">
        <f t="shared" si="29"/>
        <v>4746.28</v>
      </c>
    </row>
    <row r="184" spans="1:110"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f t="shared" si="30"/>
        <v>0</v>
      </c>
      <c r="CY184">
        <f t="shared" si="31"/>
        <v>0</v>
      </c>
      <c r="CZ184">
        <f t="shared" si="32"/>
        <v>0</v>
      </c>
      <c r="DA184">
        <f t="shared" si="33"/>
        <v>0</v>
      </c>
      <c r="DB184">
        <f t="shared" si="34"/>
        <v>0</v>
      </c>
      <c r="DC184">
        <f t="shared" si="35"/>
        <v>0</v>
      </c>
      <c r="DD184">
        <f t="shared" si="36"/>
        <v>0</v>
      </c>
      <c r="DE184">
        <f t="shared" si="37"/>
        <v>1837.33</v>
      </c>
      <c r="DF184">
        <f t="shared" si="29"/>
        <v>1837.33</v>
      </c>
    </row>
    <row r="185" spans="1:110"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f t="shared" si="30"/>
        <v>0</v>
      </c>
      <c r="CY185">
        <f t="shared" si="31"/>
        <v>0</v>
      </c>
      <c r="CZ185">
        <f t="shared" si="32"/>
        <v>0</v>
      </c>
      <c r="DA185">
        <f t="shared" si="33"/>
        <v>0</v>
      </c>
      <c r="DB185">
        <f t="shared" si="34"/>
        <v>0</v>
      </c>
      <c r="DC185">
        <f t="shared" si="35"/>
        <v>0</v>
      </c>
      <c r="DD185">
        <f t="shared" si="36"/>
        <v>0</v>
      </c>
      <c r="DE185">
        <f t="shared" si="37"/>
        <v>4065.3</v>
      </c>
      <c r="DF185">
        <f t="shared" si="29"/>
        <v>4065.3</v>
      </c>
    </row>
    <row r="186" spans="1:110"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f t="shared" si="30"/>
        <v>0</v>
      </c>
      <c r="CY186">
        <f t="shared" si="31"/>
        <v>0</v>
      </c>
      <c r="CZ186">
        <f t="shared" si="32"/>
        <v>0</v>
      </c>
      <c r="DA186">
        <f t="shared" si="33"/>
        <v>0</v>
      </c>
      <c r="DB186">
        <f t="shared" si="34"/>
        <v>0</v>
      </c>
      <c r="DC186">
        <f t="shared" si="35"/>
        <v>0</v>
      </c>
      <c r="DD186">
        <f t="shared" si="36"/>
        <v>0</v>
      </c>
      <c r="DE186">
        <f t="shared" si="37"/>
        <v>4152.21</v>
      </c>
      <c r="DF186">
        <f t="shared" si="29"/>
        <v>4152.21</v>
      </c>
    </row>
    <row r="187" spans="1:110"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f t="shared" si="30"/>
        <v>0</v>
      </c>
      <c r="CY187">
        <f t="shared" si="31"/>
        <v>0</v>
      </c>
      <c r="CZ187">
        <f t="shared" si="32"/>
        <v>7083.13</v>
      </c>
      <c r="DA187">
        <f t="shared" si="33"/>
        <v>0</v>
      </c>
      <c r="DB187">
        <f t="shared" si="34"/>
        <v>0</v>
      </c>
      <c r="DC187">
        <f t="shared" si="35"/>
        <v>0</v>
      </c>
      <c r="DD187">
        <f t="shared" si="36"/>
        <v>0</v>
      </c>
      <c r="DE187">
        <f t="shared" si="37"/>
        <v>0</v>
      </c>
      <c r="DF187">
        <f t="shared" si="29"/>
        <v>7083.13</v>
      </c>
    </row>
    <row r="188" spans="1:110"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f t="shared" si="30"/>
        <v>0</v>
      </c>
      <c r="CY188">
        <f t="shared" si="31"/>
        <v>0</v>
      </c>
      <c r="CZ188">
        <f t="shared" si="32"/>
        <v>0</v>
      </c>
      <c r="DA188">
        <f t="shared" si="33"/>
        <v>0</v>
      </c>
      <c r="DB188">
        <f t="shared" si="34"/>
        <v>0</v>
      </c>
      <c r="DC188">
        <f t="shared" si="35"/>
        <v>0</v>
      </c>
      <c r="DD188">
        <f t="shared" si="36"/>
        <v>0</v>
      </c>
      <c r="DE188">
        <f t="shared" si="37"/>
        <v>7028.52</v>
      </c>
      <c r="DF188">
        <f t="shared" si="29"/>
        <v>7028.52</v>
      </c>
    </row>
    <row r="189" spans="1:110"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f t="shared" si="30"/>
        <v>0</v>
      </c>
      <c r="CY189">
        <f t="shared" si="31"/>
        <v>0</v>
      </c>
      <c r="CZ189">
        <f t="shared" si="32"/>
        <v>0</v>
      </c>
      <c r="DA189">
        <f t="shared" si="33"/>
        <v>0</v>
      </c>
      <c r="DB189">
        <f t="shared" si="34"/>
        <v>6114.3799999999992</v>
      </c>
      <c r="DC189">
        <f t="shared" si="35"/>
        <v>681.44</v>
      </c>
      <c r="DD189">
        <f t="shared" si="36"/>
        <v>0</v>
      </c>
      <c r="DE189">
        <f t="shared" si="37"/>
        <v>0</v>
      </c>
      <c r="DF189">
        <f t="shared" si="29"/>
        <v>6795.82</v>
      </c>
    </row>
    <row r="190" spans="1:110"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f t="shared" si="30"/>
        <v>0</v>
      </c>
      <c r="CY190">
        <f t="shared" si="31"/>
        <v>0</v>
      </c>
      <c r="CZ190">
        <f t="shared" si="32"/>
        <v>0</v>
      </c>
      <c r="DA190">
        <f t="shared" si="33"/>
        <v>0</v>
      </c>
      <c r="DB190">
        <f t="shared" si="34"/>
        <v>0</v>
      </c>
      <c r="DC190">
        <f t="shared" si="35"/>
        <v>0</v>
      </c>
      <c r="DD190">
        <f t="shared" si="36"/>
        <v>6007.37</v>
      </c>
      <c r="DE190">
        <f t="shared" si="37"/>
        <v>5530.39</v>
      </c>
      <c r="DF190">
        <f t="shared" si="29"/>
        <v>11537.759999999998</v>
      </c>
    </row>
    <row r="191" spans="1:110"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f t="shared" si="30"/>
        <v>0</v>
      </c>
      <c r="CY191">
        <f t="shared" si="31"/>
        <v>0</v>
      </c>
      <c r="CZ191">
        <f t="shared" si="32"/>
        <v>4028.71</v>
      </c>
      <c r="DA191">
        <f t="shared" si="33"/>
        <v>0</v>
      </c>
      <c r="DB191">
        <f t="shared" si="34"/>
        <v>0</v>
      </c>
      <c r="DC191">
        <f t="shared" si="35"/>
        <v>0</v>
      </c>
      <c r="DD191">
        <f t="shared" si="36"/>
        <v>0</v>
      </c>
      <c r="DE191">
        <f t="shared" si="37"/>
        <v>0</v>
      </c>
      <c r="DF191">
        <f t="shared" si="29"/>
        <v>4028.71</v>
      </c>
    </row>
    <row r="192" spans="1:110"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f t="shared" si="30"/>
        <v>0</v>
      </c>
      <c r="CY192">
        <f t="shared" si="31"/>
        <v>0</v>
      </c>
      <c r="CZ192">
        <f t="shared" si="32"/>
        <v>0</v>
      </c>
      <c r="DA192">
        <f t="shared" si="33"/>
        <v>0</v>
      </c>
      <c r="DB192">
        <f t="shared" si="34"/>
        <v>0</v>
      </c>
      <c r="DC192">
        <f t="shared" si="35"/>
        <v>0</v>
      </c>
      <c r="DD192">
        <f t="shared" si="36"/>
        <v>41037.300000000003</v>
      </c>
      <c r="DE192">
        <f t="shared" si="37"/>
        <v>14341.289999999999</v>
      </c>
      <c r="DF192">
        <f t="shared" si="29"/>
        <v>55378.590000000004</v>
      </c>
    </row>
    <row r="193" spans="1:110"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f t="shared" si="30"/>
        <v>0</v>
      </c>
      <c r="CY193">
        <f t="shared" si="31"/>
        <v>0</v>
      </c>
      <c r="CZ193">
        <f t="shared" si="32"/>
        <v>0</v>
      </c>
      <c r="DA193">
        <f t="shared" si="33"/>
        <v>0</v>
      </c>
      <c r="DB193">
        <f t="shared" si="34"/>
        <v>0</v>
      </c>
      <c r="DC193">
        <f t="shared" si="35"/>
        <v>0</v>
      </c>
      <c r="DD193">
        <f t="shared" si="36"/>
        <v>2212.69</v>
      </c>
      <c r="DE193">
        <f t="shared" si="37"/>
        <v>8820.4</v>
      </c>
      <c r="DF193">
        <f t="shared" si="29"/>
        <v>11033.09</v>
      </c>
    </row>
    <row r="194" spans="1:110"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f t="shared" si="30"/>
        <v>0</v>
      </c>
      <c r="CY194">
        <f t="shared" si="31"/>
        <v>0</v>
      </c>
      <c r="CZ194">
        <f t="shared" si="32"/>
        <v>0</v>
      </c>
      <c r="DA194">
        <f t="shared" si="33"/>
        <v>0</v>
      </c>
      <c r="DB194">
        <f t="shared" si="34"/>
        <v>0</v>
      </c>
      <c r="DC194">
        <f t="shared" si="35"/>
        <v>6379.63</v>
      </c>
      <c r="DD194">
        <f t="shared" si="36"/>
        <v>0</v>
      </c>
      <c r="DE194">
        <f t="shared" si="37"/>
        <v>0</v>
      </c>
      <c r="DF194">
        <f t="shared" si="29"/>
        <v>6379.63</v>
      </c>
    </row>
    <row r="195" spans="1:110"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f t="shared" si="30"/>
        <v>0</v>
      </c>
      <c r="CY195">
        <f t="shared" si="31"/>
        <v>0</v>
      </c>
      <c r="CZ195">
        <f t="shared" si="32"/>
        <v>0</v>
      </c>
      <c r="DA195">
        <f t="shared" si="33"/>
        <v>0</v>
      </c>
      <c r="DB195">
        <f t="shared" si="34"/>
        <v>0</v>
      </c>
      <c r="DC195">
        <f t="shared" si="35"/>
        <v>0</v>
      </c>
      <c r="DD195">
        <f t="shared" si="36"/>
        <v>1771.2199999999998</v>
      </c>
      <c r="DE195">
        <f t="shared" si="37"/>
        <v>2302.42</v>
      </c>
      <c r="DF195">
        <f t="shared" ref="DF195:DF258" si="38">SUM(F195:CW195)</f>
        <v>4073.64</v>
      </c>
    </row>
    <row r="196" spans="1:110"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f t="shared" ref="CX196:CX259" si="39">SUM(F196:Q196)</f>
        <v>0</v>
      </c>
      <c r="CY196">
        <f t="shared" ref="CY196:CY259" si="40">SUM(R196:AC196)</f>
        <v>0</v>
      </c>
      <c r="CZ196">
        <f t="shared" ref="CZ196:CZ259" si="41">SUM(AD196:AO196)</f>
        <v>0</v>
      </c>
      <c r="DA196">
        <f t="shared" ref="DA196:DA259" si="42">SUM(AP196:BA196)</f>
        <v>0</v>
      </c>
      <c r="DB196">
        <f t="shared" ref="DB196:DB259" si="43">SUM(BB196:BM196)</f>
        <v>0</v>
      </c>
      <c r="DC196">
        <f t="shared" ref="DC196:DC259" si="44">SUM(BN196:BY196)</f>
        <v>0</v>
      </c>
      <c r="DD196">
        <f t="shared" ref="DD196:DD259" si="45">SUM(BZ196:CK196)</f>
        <v>1251.18</v>
      </c>
      <c r="DE196">
        <f t="shared" ref="DE196:DE259" si="46">SUM(CL196:CW196)</f>
        <v>1116.29</v>
      </c>
      <c r="DF196">
        <f t="shared" si="38"/>
        <v>2367.4700000000003</v>
      </c>
    </row>
    <row r="197" spans="1:110"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f t="shared" si="39"/>
        <v>0</v>
      </c>
      <c r="CY197">
        <f t="shared" si="40"/>
        <v>0</v>
      </c>
      <c r="CZ197">
        <f t="shared" si="41"/>
        <v>3684.87</v>
      </c>
      <c r="DA197">
        <f t="shared" si="42"/>
        <v>927.85</v>
      </c>
      <c r="DB197">
        <f t="shared" si="43"/>
        <v>0</v>
      </c>
      <c r="DC197">
        <f t="shared" si="44"/>
        <v>0</v>
      </c>
      <c r="DD197">
        <f t="shared" si="45"/>
        <v>0</v>
      </c>
      <c r="DE197">
        <f t="shared" si="46"/>
        <v>0</v>
      </c>
      <c r="DF197">
        <f t="shared" si="38"/>
        <v>4612.72</v>
      </c>
    </row>
    <row r="198" spans="1:110"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f t="shared" si="39"/>
        <v>0</v>
      </c>
      <c r="CY198">
        <f t="shared" si="40"/>
        <v>0</v>
      </c>
      <c r="CZ198">
        <f t="shared" si="41"/>
        <v>7687.5400000000009</v>
      </c>
      <c r="DA198">
        <f t="shared" si="42"/>
        <v>17791.05</v>
      </c>
      <c r="DB198">
        <f t="shared" si="43"/>
        <v>2344.4899999999998</v>
      </c>
      <c r="DC198">
        <f t="shared" si="44"/>
        <v>0</v>
      </c>
      <c r="DD198">
        <f t="shared" si="45"/>
        <v>0</v>
      </c>
      <c r="DE198">
        <f t="shared" si="46"/>
        <v>0</v>
      </c>
      <c r="DF198">
        <f t="shared" si="38"/>
        <v>27823.08</v>
      </c>
    </row>
    <row r="199" spans="1:110"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f t="shared" si="39"/>
        <v>0</v>
      </c>
      <c r="CY199">
        <f t="shared" si="40"/>
        <v>2129.2799999999997</v>
      </c>
      <c r="CZ199">
        <f t="shared" si="41"/>
        <v>0</v>
      </c>
      <c r="DA199">
        <f t="shared" si="42"/>
        <v>0</v>
      </c>
      <c r="DB199">
        <f t="shared" si="43"/>
        <v>0</v>
      </c>
      <c r="DC199">
        <f t="shared" si="44"/>
        <v>0</v>
      </c>
      <c r="DD199">
        <f t="shared" si="45"/>
        <v>0</v>
      </c>
      <c r="DE199">
        <f t="shared" si="46"/>
        <v>0</v>
      </c>
      <c r="DF199">
        <f t="shared" si="38"/>
        <v>2129.2799999999997</v>
      </c>
    </row>
    <row r="200" spans="1:110"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f t="shared" si="39"/>
        <v>0</v>
      </c>
      <c r="CY200">
        <f t="shared" si="40"/>
        <v>0</v>
      </c>
      <c r="CZ200">
        <f t="shared" si="41"/>
        <v>0</v>
      </c>
      <c r="DA200">
        <f t="shared" si="42"/>
        <v>0</v>
      </c>
      <c r="DB200">
        <f t="shared" si="43"/>
        <v>6258.1100000000006</v>
      </c>
      <c r="DC200">
        <f t="shared" si="44"/>
        <v>1963.48</v>
      </c>
      <c r="DD200">
        <f t="shared" si="45"/>
        <v>0</v>
      </c>
      <c r="DE200">
        <f t="shared" si="46"/>
        <v>0</v>
      </c>
      <c r="DF200">
        <f t="shared" si="38"/>
        <v>8221.59</v>
      </c>
    </row>
    <row r="201" spans="1:110"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f t="shared" si="39"/>
        <v>0</v>
      </c>
      <c r="CY201">
        <f t="shared" si="40"/>
        <v>0</v>
      </c>
      <c r="CZ201">
        <f t="shared" si="41"/>
        <v>0</v>
      </c>
      <c r="DA201">
        <f t="shared" si="42"/>
        <v>0</v>
      </c>
      <c r="DB201">
        <f t="shared" si="43"/>
        <v>3881.0200000000004</v>
      </c>
      <c r="DC201">
        <f t="shared" si="44"/>
        <v>2155.66</v>
      </c>
      <c r="DD201">
        <f t="shared" si="45"/>
        <v>492.84</v>
      </c>
      <c r="DE201">
        <f t="shared" si="46"/>
        <v>0</v>
      </c>
      <c r="DF201">
        <f t="shared" si="38"/>
        <v>6529.5200000000013</v>
      </c>
    </row>
    <row r="202" spans="1:110"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f t="shared" si="39"/>
        <v>0</v>
      </c>
      <c r="CY202">
        <f t="shared" si="40"/>
        <v>5055.91</v>
      </c>
      <c r="CZ202">
        <f t="shared" si="41"/>
        <v>0</v>
      </c>
      <c r="DA202">
        <f t="shared" si="42"/>
        <v>0</v>
      </c>
      <c r="DB202">
        <f t="shared" si="43"/>
        <v>0</v>
      </c>
      <c r="DC202">
        <f t="shared" si="44"/>
        <v>0</v>
      </c>
      <c r="DD202">
        <f t="shared" si="45"/>
        <v>0</v>
      </c>
      <c r="DE202">
        <f t="shared" si="46"/>
        <v>0</v>
      </c>
      <c r="DF202">
        <f t="shared" si="38"/>
        <v>5055.91</v>
      </c>
    </row>
    <row r="203" spans="1:110"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f t="shared" si="39"/>
        <v>0</v>
      </c>
      <c r="CY203">
        <f t="shared" si="40"/>
        <v>0</v>
      </c>
      <c r="CZ203">
        <f t="shared" si="41"/>
        <v>0</v>
      </c>
      <c r="DA203">
        <f t="shared" si="42"/>
        <v>0</v>
      </c>
      <c r="DB203">
        <f t="shared" si="43"/>
        <v>0</v>
      </c>
      <c r="DC203">
        <f t="shared" si="44"/>
        <v>500.16999999999996</v>
      </c>
      <c r="DD203">
        <f t="shared" si="45"/>
        <v>3281.2599999999993</v>
      </c>
      <c r="DE203">
        <f t="shared" si="46"/>
        <v>892.32000000000016</v>
      </c>
      <c r="DF203">
        <f t="shared" si="38"/>
        <v>4673.7499999999991</v>
      </c>
    </row>
    <row r="204" spans="1:110"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f t="shared" si="39"/>
        <v>0</v>
      </c>
      <c r="CY204">
        <f t="shared" si="40"/>
        <v>0</v>
      </c>
      <c r="CZ204">
        <f t="shared" si="41"/>
        <v>0</v>
      </c>
      <c r="DA204">
        <f t="shared" si="42"/>
        <v>0</v>
      </c>
      <c r="DB204">
        <f t="shared" si="43"/>
        <v>0</v>
      </c>
      <c r="DC204">
        <f t="shared" si="44"/>
        <v>0</v>
      </c>
      <c r="DD204">
        <f t="shared" si="45"/>
        <v>667.78</v>
      </c>
      <c r="DE204">
        <f t="shared" si="46"/>
        <v>2921.8900000000003</v>
      </c>
      <c r="DF204">
        <f t="shared" si="38"/>
        <v>3589.67</v>
      </c>
    </row>
    <row r="205" spans="1:110"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f t="shared" si="39"/>
        <v>0</v>
      </c>
      <c r="CY205">
        <f t="shared" si="40"/>
        <v>0</v>
      </c>
      <c r="CZ205">
        <f t="shared" si="41"/>
        <v>0</v>
      </c>
      <c r="DA205">
        <f t="shared" si="42"/>
        <v>0</v>
      </c>
      <c r="DB205">
        <f t="shared" si="43"/>
        <v>0</v>
      </c>
      <c r="DC205">
        <f t="shared" si="44"/>
        <v>0</v>
      </c>
      <c r="DD205">
        <f t="shared" si="45"/>
        <v>223.74</v>
      </c>
      <c r="DE205">
        <f t="shared" si="46"/>
        <v>802.68000000000006</v>
      </c>
      <c r="DF205">
        <f t="shared" si="38"/>
        <v>1026.42</v>
      </c>
    </row>
    <row r="206" spans="1:110"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f t="shared" si="39"/>
        <v>0</v>
      </c>
      <c r="CY206">
        <f t="shared" si="40"/>
        <v>3384.55</v>
      </c>
      <c r="CZ206">
        <f t="shared" si="41"/>
        <v>4545.43</v>
      </c>
      <c r="DA206">
        <f t="shared" si="42"/>
        <v>0</v>
      </c>
      <c r="DB206">
        <f t="shared" si="43"/>
        <v>0</v>
      </c>
      <c r="DC206">
        <f t="shared" si="44"/>
        <v>0</v>
      </c>
      <c r="DD206">
        <f t="shared" si="45"/>
        <v>0</v>
      </c>
      <c r="DE206">
        <f t="shared" si="46"/>
        <v>0</v>
      </c>
      <c r="DF206">
        <f t="shared" si="38"/>
        <v>7929.98</v>
      </c>
    </row>
    <row r="207" spans="1:110"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f t="shared" si="39"/>
        <v>26465.84</v>
      </c>
      <c r="CY207">
        <f t="shared" si="40"/>
        <v>24179.64</v>
      </c>
      <c r="CZ207">
        <f t="shared" si="41"/>
        <v>0</v>
      </c>
      <c r="DA207">
        <f t="shared" si="42"/>
        <v>0</v>
      </c>
      <c r="DB207">
        <f t="shared" si="43"/>
        <v>0</v>
      </c>
      <c r="DC207">
        <f t="shared" si="44"/>
        <v>0</v>
      </c>
      <c r="DD207">
        <f t="shared" si="45"/>
        <v>0</v>
      </c>
      <c r="DE207">
        <f t="shared" si="46"/>
        <v>0</v>
      </c>
      <c r="DF207">
        <f t="shared" si="38"/>
        <v>50645.48000000001</v>
      </c>
    </row>
    <row r="208" spans="1:110"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f t="shared" si="39"/>
        <v>0</v>
      </c>
      <c r="CY208">
        <f t="shared" si="40"/>
        <v>0</v>
      </c>
      <c r="CZ208">
        <f t="shared" si="41"/>
        <v>0</v>
      </c>
      <c r="DA208">
        <f t="shared" si="42"/>
        <v>0</v>
      </c>
      <c r="DB208">
        <f t="shared" si="43"/>
        <v>0</v>
      </c>
      <c r="DC208">
        <f t="shared" si="44"/>
        <v>1303.81</v>
      </c>
      <c r="DD208">
        <f t="shared" si="45"/>
        <v>624.03</v>
      </c>
      <c r="DE208">
        <f t="shared" si="46"/>
        <v>0</v>
      </c>
      <c r="DF208">
        <f t="shared" si="38"/>
        <v>1927.84</v>
      </c>
    </row>
    <row r="209" spans="1:110"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f t="shared" si="39"/>
        <v>0</v>
      </c>
      <c r="CY209">
        <f t="shared" si="40"/>
        <v>0</v>
      </c>
      <c r="CZ209">
        <f t="shared" si="41"/>
        <v>0</v>
      </c>
      <c r="DA209">
        <f t="shared" si="42"/>
        <v>0</v>
      </c>
      <c r="DB209">
        <f t="shared" si="43"/>
        <v>0</v>
      </c>
      <c r="DC209">
        <f t="shared" si="44"/>
        <v>7208.53</v>
      </c>
      <c r="DD209">
        <f t="shared" si="45"/>
        <v>0</v>
      </c>
      <c r="DE209">
        <f t="shared" si="46"/>
        <v>0</v>
      </c>
      <c r="DF209">
        <f t="shared" si="38"/>
        <v>7208.53</v>
      </c>
    </row>
    <row r="210" spans="1:110"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f t="shared" si="39"/>
        <v>0</v>
      </c>
      <c r="CY210">
        <f t="shared" si="40"/>
        <v>0</v>
      </c>
      <c r="CZ210">
        <f t="shared" si="41"/>
        <v>0</v>
      </c>
      <c r="DA210">
        <f t="shared" si="42"/>
        <v>0</v>
      </c>
      <c r="DB210">
        <f t="shared" si="43"/>
        <v>3698.36</v>
      </c>
      <c r="DC210">
        <f t="shared" si="44"/>
        <v>0</v>
      </c>
      <c r="DD210">
        <f t="shared" si="45"/>
        <v>0</v>
      </c>
      <c r="DE210">
        <f t="shared" si="46"/>
        <v>0</v>
      </c>
      <c r="DF210">
        <f t="shared" si="38"/>
        <v>3698.36</v>
      </c>
    </row>
    <row r="211" spans="1:110"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f t="shared" si="39"/>
        <v>4108.24</v>
      </c>
      <c r="CY211">
        <f t="shared" si="40"/>
        <v>0</v>
      </c>
      <c r="CZ211">
        <f t="shared" si="41"/>
        <v>0</v>
      </c>
      <c r="DA211">
        <f t="shared" si="42"/>
        <v>0</v>
      </c>
      <c r="DB211">
        <f t="shared" si="43"/>
        <v>0</v>
      </c>
      <c r="DC211">
        <f t="shared" si="44"/>
        <v>0</v>
      </c>
      <c r="DD211">
        <f t="shared" si="45"/>
        <v>0</v>
      </c>
      <c r="DE211">
        <f t="shared" si="46"/>
        <v>0</v>
      </c>
      <c r="DF211">
        <f t="shared" si="38"/>
        <v>4108.24</v>
      </c>
    </row>
    <row r="212" spans="1:110"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f t="shared" si="39"/>
        <v>0</v>
      </c>
      <c r="CY212">
        <f t="shared" si="40"/>
        <v>0</v>
      </c>
      <c r="CZ212">
        <f t="shared" si="41"/>
        <v>0</v>
      </c>
      <c r="DA212">
        <f t="shared" si="42"/>
        <v>0</v>
      </c>
      <c r="DB212">
        <f t="shared" si="43"/>
        <v>2524.73</v>
      </c>
      <c r="DC212">
        <f t="shared" si="44"/>
        <v>0</v>
      </c>
      <c r="DD212">
        <f t="shared" si="45"/>
        <v>0</v>
      </c>
      <c r="DE212">
        <f t="shared" si="46"/>
        <v>0</v>
      </c>
      <c r="DF212">
        <f t="shared" si="38"/>
        <v>2524.73</v>
      </c>
    </row>
    <row r="213" spans="1:110"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f t="shared" si="39"/>
        <v>0</v>
      </c>
      <c r="CY213">
        <f t="shared" si="40"/>
        <v>0</v>
      </c>
      <c r="CZ213">
        <f t="shared" si="41"/>
        <v>0</v>
      </c>
      <c r="DA213">
        <f t="shared" si="42"/>
        <v>0</v>
      </c>
      <c r="DB213">
        <f t="shared" si="43"/>
        <v>5870.9</v>
      </c>
      <c r="DC213">
        <f t="shared" si="44"/>
        <v>0</v>
      </c>
      <c r="DD213">
        <f t="shared" si="45"/>
        <v>0</v>
      </c>
      <c r="DE213">
        <f t="shared" si="46"/>
        <v>0</v>
      </c>
      <c r="DF213">
        <f t="shared" si="38"/>
        <v>5870.9</v>
      </c>
    </row>
    <row r="214" spans="1:110"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f t="shared" si="39"/>
        <v>0</v>
      </c>
      <c r="CY214">
        <f t="shared" si="40"/>
        <v>0</v>
      </c>
      <c r="CZ214">
        <f t="shared" si="41"/>
        <v>0</v>
      </c>
      <c r="DA214">
        <f t="shared" si="42"/>
        <v>0</v>
      </c>
      <c r="DB214">
        <f t="shared" si="43"/>
        <v>0</v>
      </c>
      <c r="DC214">
        <f t="shared" si="44"/>
        <v>0</v>
      </c>
      <c r="DD214">
        <f t="shared" si="45"/>
        <v>3354.32</v>
      </c>
      <c r="DE214">
        <f t="shared" si="46"/>
        <v>0</v>
      </c>
      <c r="DF214">
        <f t="shared" si="38"/>
        <v>3354.32</v>
      </c>
    </row>
    <row r="215" spans="1:110"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f t="shared" si="39"/>
        <v>0</v>
      </c>
      <c r="CY215">
        <f t="shared" si="40"/>
        <v>0</v>
      </c>
      <c r="CZ215">
        <f t="shared" si="41"/>
        <v>0</v>
      </c>
      <c r="DA215">
        <f t="shared" si="42"/>
        <v>6494.2900000000009</v>
      </c>
      <c r="DB215">
        <f t="shared" si="43"/>
        <v>6333.5499999999993</v>
      </c>
      <c r="DC215">
        <f t="shared" si="44"/>
        <v>2696.16</v>
      </c>
      <c r="DD215">
        <f t="shared" si="45"/>
        <v>0</v>
      </c>
      <c r="DE215">
        <f t="shared" si="46"/>
        <v>0</v>
      </c>
      <c r="DF215">
        <f t="shared" si="38"/>
        <v>15524</v>
      </c>
    </row>
    <row r="216" spans="1:110"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f t="shared" si="39"/>
        <v>0</v>
      </c>
      <c r="CY216">
        <f t="shared" si="40"/>
        <v>0</v>
      </c>
      <c r="CZ216">
        <f t="shared" si="41"/>
        <v>0</v>
      </c>
      <c r="DA216">
        <f t="shared" si="42"/>
        <v>4759.22</v>
      </c>
      <c r="DB216">
        <f t="shared" si="43"/>
        <v>0</v>
      </c>
      <c r="DC216">
        <f t="shared" si="44"/>
        <v>0</v>
      </c>
      <c r="DD216">
        <f t="shared" si="45"/>
        <v>0</v>
      </c>
      <c r="DE216">
        <f t="shared" si="46"/>
        <v>0</v>
      </c>
      <c r="DF216">
        <f t="shared" si="38"/>
        <v>4759.22</v>
      </c>
    </row>
    <row r="217" spans="1:110"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f t="shared" si="39"/>
        <v>0</v>
      </c>
      <c r="CY217">
        <f t="shared" si="40"/>
        <v>0</v>
      </c>
      <c r="CZ217">
        <f t="shared" si="41"/>
        <v>0</v>
      </c>
      <c r="DA217">
        <f t="shared" si="42"/>
        <v>0</v>
      </c>
      <c r="DB217">
        <f t="shared" si="43"/>
        <v>1317.09</v>
      </c>
      <c r="DC217">
        <f t="shared" si="44"/>
        <v>829.08</v>
      </c>
      <c r="DD217">
        <f t="shared" si="45"/>
        <v>0</v>
      </c>
      <c r="DE217">
        <f t="shared" si="46"/>
        <v>0</v>
      </c>
      <c r="DF217">
        <f t="shared" si="38"/>
        <v>2146.17</v>
      </c>
    </row>
    <row r="218" spans="1:110"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f t="shared" si="39"/>
        <v>0</v>
      </c>
      <c r="CY218">
        <f t="shared" si="40"/>
        <v>5106.4799999999996</v>
      </c>
      <c r="CZ218">
        <f t="shared" si="41"/>
        <v>6219.95</v>
      </c>
      <c r="DA218">
        <f t="shared" si="42"/>
        <v>0</v>
      </c>
      <c r="DB218">
        <f t="shared" si="43"/>
        <v>0</v>
      </c>
      <c r="DC218">
        <f t="shared" si="44"/>
        <v>0</v>
      </c>
      <c r="DD218">
        <f t="shared" si="45"/>
        <v>0</v>
      </c>
      <c r="DE218">
        <f t="shared" si="46"/>
        <v>0</v>
      </c>
      <c r="DF218">
        <f t="shared" si="38"/>
        <v>11326.43</v>
      </c>
    </row>
    <row r="219" spans="1:110"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f t="shared" si="39"/>
        <v>0</v>
      </c>
      <c r="CY219">
        <f t="shared" si="40"/>
        <v>0</v>
      </c>
      <c r="CZ219">
        <f t="shared" si="41"/>
        <v>0</v>
      </c>
      <c r="DA219">
        <f t="shared" si="42"/>
        <v>0</v>
      </c>
      <c r="DB219">
        <f t="shared" si="43"/>
        <v>0</v>
      </c>
      <c r="DC219">
        <f t="shared" si="44"/>
        <v>0</v>
      </c>
      <c r="DD219">
        <f t="shared" si="45"/>
        <v>2304.41</v>
      </c>
      <c r="DE219">
        <f t="shared" si="46"/>
        <v>0</v>
      </c>
      <c r="DF219">
        <f t="shared" si="38"/>
        <v>2304.41</v>
      </c>
    </row>
    <row r="220" spans="1:110"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f t="shared" si="39"/>
        <v>0</v>
      </c>
      <c r="CY220">
        <f t="shared" si="40"/>
        <v>0</v>
      </c>
      <c r="CZ220">
        <f t="shared" si="41"/>
        <v>0</v>
      </c>
      <c r="DA220">
        <f t="shared" si="42"/>
        <v>0</v>
      </c>
      <c r="DB220">
        <f t="shared" si="43"/>
        <v>0</v>
      </c>
      <c r="DC220">
        <f t="shared" si="44"/>
        <v>1611.04</v>
      </c>
      <c r="DD220">
        <f t="shared" si="45"/>
        <v>0</v>
      </c>
      <c r="DE220">
        <f t="shared" si="46"/>
        <v>0</v>
      </c>
      <c r="DF220">
        <f t="shared" si="38"/>
        <v>1611.04</v>
      </c>
    </row>
    <row r="221" spans="1:110"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f t="shared" si="39"/>
        <v>0</v>
      </c>
      <c r="CY221">
        <f t="shared" si="40"/>
        <v>0</v>
      </c>
      <c r="CZ221">
        <f t="shared" si="41"/>
        <v>0</v>
      </c>
      <c r="DA221">
        <f t="shared" si="42"/>
        <v>0</v>
      </c>
      <c r="DB221">
        <f t="shared" si="43"/>
        <v>0</v>
      </c>
      <c r="DC221">
        <f t="shared" si="44"/>
        <v>6072.69</v>
      </c>
      <c r="DD221">
        <f t="shared" si="45"/>
        <v>0</v>
      </c>
      <c r="DE221">
        <f t="shared" si="46"/>
        <v>0</v>
      </c>
      <c r="DF221">
        <f t="shared" si="38"/>
        <v>6072.69</v>
      </c>
    </row>
    <row r="222" spans="1:110"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f t="shared" si="39"/>
        <v>0</v>
      </c>
      <c r="CY222">
        <f t="shared" si="40"/>
        <v>0</v>
      </c>
      <c r="CZ222">
        <f t="shared" si="41"/>
        <v>0</v>
      </c>
      <c r="DA222">
        <f t="shared" si="42"/>
        <v>0</v>
      </c>
      <c r="DB222">
        <f t="shared" si="43"/>
        <v>0</v>
      </c>
      <c r="DC222">
        <f t="shared" si="44"/>
        <v>0</v>
      </c>
      <c r="DD222">
        <f t="shared" si="45"/>
        <v>625.33000000000004</v>
      </c>
      <c r="DE222">
        <f t="shared" si="46"/>
        <v>2299.27</v>
      </c>
      <c r="DF222">
        <f t="shared" si="38"/>
        <v>2924.6000000000004</v>
      </c>
    </row>
    <row r="223" spans="1:110"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f t="shared" si="39"/>
        <v>0</v>
      </c>
      <c r="CY223">
        <f t="shared" si="40"/>
        <v>0</v>
      </c>
      <c r="CZ223">
        <f t="shared" si="41"/>
        <v>0</v>
      </c>
      <c r="DA223">
        <f t="shared" si="42"/>
        <v>0</v>
      </c>
      <c r="DB223">
        <f t="shared" si="43"/>
        <v>3266.83</v>
      </c>
      <c r="DC223">
        <f t="shared" si="44"/>
        <v>0</v>
      </c>
      <c r="DD223">
        <f t="shared" si="45"/>
        <v>0</v>
      </c>
      <c r="DE223">
        <f t="shared" si="46"/>
        <v>0</v>
      </c>
      <c r="DF223">
        <f t="shared" si="38"/>
        <v>3266.83</v>
      </c>
    </row>
    <row r="224" spans="1:110"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f t="shared" si="39"/>
        <v>0</v>
      </c>
      <c r="CY224">
        <f t="shared" si="40"/>
        <v>0</v>
      </c>
      <c r="CZ224">
        <f t="shared" si="41"/>
        <v>0</v>
      </c>
      <c r="DA224">
        <f t="shared" si="42"/>
        <v>0</v>
      </c>
      <c r="DB224">
        <f t="shared" si="43"/>
        <v>0</v>
      </c>
      <c r="DC224">
        <f t="shared" si="44"/>
        <v>0</v>
      </c>
      <c r="DD224">
        <f t="shared" si="45"/>
        <v>11203.58</v>
      </c>
      <c r="DE224">
        <f t="shared" si="46"/>
        <v>1238.24</v>
      </c>
      <c r="DF224">
        <f t="shared" si="38"/>
        <v>12441.82</v>
      </c>
    </row>
    <row r="225" spans="1:110"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f t="shared" si="39"/>
        <v>0</v>
      </c>
      <c r="CY225">
        <f t="shared" si="40"/>
        <v>0</v>
      </c>
      <c r="CZ225">
        <f t="shared" si="41"/>
        <v>0</v>
      </c>
      <c r="DA225">
        <f t="shared" si="42"/>
        <v>0</v>
      </c>
      <c r="DB225">
        <f t="shared" si="43"/>
        <v>0</v>
      </c>
      <c r="DC225">
        <f t="shared" si="44"/>
        <v>987.06</v>
      </c>
      <c r="DD225">
        <f t="shared" si="45"/>
        <v>2544</v>
      </c>
      <c r="DE225">
        <f t="shared" si="46"/>
        <v>583.95000000000005</v>
      </c>
      <c r="DF225">
        <f t="shared" si="38"/>
        <v>4115.01</v>
      </c>
    </row>
    <row r="226" spans="1:110"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f t="shared" si="39"/>
        <v>0</v>
      </c>
      <c r="CY226">
        <f t="shared" si="40"/>
        <v>0</v>
      </c>
      <c r="CZ226">
        <f t="shared" si="41"/>
        <v>0</v>
      </c>
      <c r="DA226">
        <f t="shared" si="42"/>
        <v>0</v>
      </c>
      <c r="DB226">
        <f t="shared" si="43"/>
        <v>9224.2199999999993</v>
      </c>
      <c r="DC226">
        <f t="shared" si="44"/>
        <v>16926.48</v>
      </c>
      <c r="DD226">
        <f t="shared" si="45"/>
        <v>5769.68</v>
      </c>
      <c r="DE226">
        <f t="shared" si="46"/>
        <v>0</v>
      </c>
      <c r="DF226">
        <f t="shared" si="38"/>
        <v>31920.38</v>
      </c>
    </row>
    <row r="227" spans="1:110"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f t="shared" si="39"/>
        <v>0</v>
      </c>
      <c r="CY227">
        <f t="shared" si="40"/>
        <v>0</v>
      </c>
      <c r="CZ227">
        <f t="shared" si="41"/>
        <v>0</v>
      </c>
      <c r="DA227">
        <f t="shared" si="42"/>
        <v>0</v>
      </c>
      <c r="DB227">
        <f t="shared" si="43"/>
        <v>2593.4699999999998</v>
      </c>
      <c r="DC227">
        <f t="shared" si="44"/>
        <v>11527.970000000001</v>
      </c>
      <c r="DD227">
        <f t="shared" si="45"/>
        <v>855.18</v>
      </c>
      <c r="DE227">
        <f t="shared" si="46"/>
        <v>0</v>
      </c>
      <c r="DF227">
        <f t="shared" si="38"/>
        <v>14976.620000000003</v>
      </c>
    </row>
    <row r="228" spans="1:110"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f t="shared" si="39"/>
        <v>10447.549999999999</v>
      </c>
      <c r="CY228">
        <f t="shared" si="40"/>
        <v>3648.93</v>
      </c>
      <c r="CZ228">
        <f t="shared" si="41"/>
        <v>0</v>
      </c>
      <c r="DA228">
        <f t="shared" si="42"/>
        <v>0</v>
      </c>
      <c r="DB228">
        <f t="shared" si="43"/>
        <v>0</v>
      </c>
      <c r="DC228">
        <f t="shared" si="44"/>
        <v>0</v>
      </c>
      <c r="DD228">
        <f t="shared" si="45"/>
        <v>0</v>
      </c>
      <c r="DE228">
        <f t="shared" si="46"/>
        <v>0</v>
      </c>
      <c r="DF228">
        <f t="shared" si="38"/>
        <v>14096.479999999998</v>
      </c>
    </row>
    <row r="229" spans="1:110"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f t="shared" si="39"/>
        <v>0</v>
      </c>
      <c r="CY229">
        <f t="shared" si="40"/>
        <v>0</v>
      </c>
      <c r="CZ229">
        <f t="shared" si="41"/>
        <v>0</v>
      </c>
      <c r="DA229">
        <f t="shared" si="42"/>
        <v>0</v>
      </c>
      <c r="DB229">
        <f t="shared" si="43"/>
        <v>0</v>
      </c>
      <c r="DC229">
        <f t="shared" si="44"/>
        <v>0</v>
      </c>
      <c r="DD229">
        <f t="shared" si="45"/>
        <v>6607.1399999999994</v>
      </c>
      <c r="DE229">
        <f t="shared" si="46"/>
        <v>0</v>
      </c>
      <c r="DF229">
        <f t="shared" si="38"/>
        <v>6607.1399999999994</v>
      </c>
    </row>
    <row r="230" spans="1:110"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f t="shared" si="39"/>
        <v>0</v>
      </c>
      <c r="CY230">
        <f t="shared" si="40"/>
        <v>0</v>
      </c>
      <c r="CZ230">
        <f t="shared" si="41"/>
        <v>0</v>
      </c>
      <c r="DA230">
        <f t="shared" si="42"/>
        <v>0</v>
      </c>
      <c r="DB230">
        <f t="shared" si="43"/>
        <v>6767.62</v>
      </c>
      <c r="DC230">
        <f t="shared" si="44"/>
        <v>0</v>
      </c>
      <c r="DD230">
        <f t="shared" si="45"/>
        <v>0</v>
      </c>
      <c r="DE230">
        <f t="shared" si="46"/>
        <v>0</v>
      </c>
      <c r="DF230">
        <f t="shared" si="38"/>
        <v>6767.62</v>
      </c>
    </row>
    <row r="231" spans="1:110"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f t="shared" si="39"/>
        <v>0</v>
      </c>
      <c r="CY231">
        <f t="shared" si="40"/>
        <v>0</v>
      </c>
      <c r="CZ231">
        <f t="shared" si="41"/>
        <v>0</v>
      </c>
      <c r="DA231">
        <f t="shared" si="42"/>
        <v>0</v>
      </c>
      <c r="DB231">
        <f t="shared" si="43"/>
        <v>0</v>
      </c>
      <c r="DC231">
        <f t="shared" si="44"/>
        <v>0</v>
      </c>
      <c r="DD231">
        <f t="shared" si="45"/>
        <v>1001.76</v>
      </c>
      <c r="DE231">
        <f t="shared" si="46"/>
        <v>211.7</v>
      </c>
      <c r="DF231">
        <f t="shared" si="38"/>
        <v>1213.46</v>
      </c>
    </row>
    <row r="232" spans="1:110"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f t="shared" si="39"/>
        <v>0</v>
      </c>
      <c r="CY232">
        <f t="shared" si="40"/>
        <v>0</v>
      </c>
      <c r="CZ232">
        <f t="shared" si="41"/>
        <v>0</v>
      </c>
      <c r="DA232">
        <f t="shared" si="42"/>
        <v>0</v>
      </c>
      <c r="DB232">
        <f t="shared" si="43"/>
        <v>0</v>
      </c>
      <c r="DC232">
        <f t="shared" si="44"/>
        <v>2497.56</v>
      </c>
      <c r="DD232">
        <f t="shared" si="45"/>
        <v>0</v>
      </c>
      <c r="DE232">
        <f t="shared" si="46"/>
        <v>0</v>
      </c>
      <c r="DF232">
        <f t="shared" si="38"/>
        <v>2497.56</v>
      </c>
    </row>
    <row r="233" spans="1:110"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f t="shared" si="39"/>
        <v>0</v>
      </c>
      <c r="CY233">
        <f t="shared" si="40"/>
        <v>0</v>
      </c>
      <c r="CZ233">
        <f t="shared" si="41"/>
        <v>0</v>
      </c>
      <c r="DA233">
        <f t="shared" si="42"/>
        <v>0</v>
      </c>
      <c r="DB233">
        <f t="shared" si="43"/>
        <v>0</v>
      </c>
      <c r="DC233">
        <f t="shared" si="44"/>
        <v>0</v>
      </c>
      <c r="DD233">
        <f t="shared" si="45"/>
        <v>0</v>
      </c>
      <c r="DE233">
        <f t="shared" si="46"/>
        <v>10392.800000000001</v>
      </c>
      <c r="DF233">
        <f t="shared" si="38"/>
        <v>10392.800000000001</v>
      </c>
    </row>
    <row r="234" spans="1:110"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f t="shared" si="39"/>
        <v>0</v>
      </c>
      <c r="CY234">
        <f t="shared" si="40"/>
        <v>0</v>
      </c>
      <c r="CZ234">
        <f t="shared" si="41"/>
        <v>0</v>
      </c>
      <c r="DA234">
        <f t="shared" si="42"/>
        <v>0</v>
      </c>
      <c r="DB234">
        <f t="shared" si="43"/>
        <v>0</v>
      </c>
      <c r="DC234">
        <f t="shared" si="44"/>
        <v>0</v>
      </c>
      <c r="DD234">
        <f t="shared" si="45"/>
        <v>9130.7799999999988</v>
      </c>
      <c r="DE234">
        <f t="shared" si="46"/>
        <v>0</v>
      </c>
      <c r="DF234">
        <f t="shared" si="38"/>
        <v>9130.7799999999988</v>
      </c>
    </row>
    <row r="235" spans="1:110"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f t="shared" si="39"/>
        <v>0</v>
      </c>
      <c r="CY235">
        <f t="shared" si="40"/>
        <v>0</v>
      </c>
      <c r="CZ235">
        <f t="shared" si="41"/>
        <v>0</v>
      </c>
      <c r="DA235">
        <f t="shared" si="42"/>
        <v>3284.86</v>
      </c>
      <c r="DB235">
        <f t="shared" si="43"/>
        <v>10401.529999999999</v>
      </c>
      <c r="DC235">
        <f t="shared" si="44"/>
        <v>0</v>
      </c>
      <c r="DD235">
        <f t="shared" si="45"/>
        <v>0</v>
      </c>
      <c r="DE235">
        <f t="shared" si="46"/>
        <v>0</v>
      </c>
      <c r="DF235">
        <f t="shared" si="38"/>
        <v>13686.39</v>
      </c>
    </row>
    <row r="236" spans="1:110"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f t="shared" si="39"/>
        <v>0</v>
      </c>
      <c r="CY236">
        <f t="shared" si="40"/>
        <v>0</v>
      </c>
      <c r="CZ236">
        <f t="shared" si="41"/>
        <v>0</v>
      </c>
      <c r="DA236">
        <f t="shared" si="42"/>
        <v>7780.5</v>
      </c>
      <c r="DB236">
        <f t="shared" si="43"/>
        <v>21622.74</v>
      </c>
      <c r="DC236">
        <f t="shared" si="44"/>
        <v>8993.9500000000007</v>
      </c>
      <c r="DD236">
        <f t="shared" si="45"/>
        <v>0</v>
      </c>
      <c r="DE236">
        <f t="shared" si="46"/>
        <v>0</v>
      </c>
      <c r="DF236">
        <f t="shared" si="38"/>
        <v>38397.189999999995</v>
      </c>
    </row>
    <row r="237" spans="1:110"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f t="shared" si="39"/>
        <v>0</v>
      </c>
      <c r="CY237">
        <f t="shared" si="40"/>
        <v>0</v>
      </c>
      <c r="CZ237">
        <f t="shared" si="41"/>
        <v>9792.66</v>
      </c>
      <c r="DA237">
        <f t="shared" si="42"/>
        <v>0</v>
      </c>
      <c r="DB237">
        <f t="shared" si="43"/>
        <v>0</v>
      </c>
      <c r="DC237">
        <f t="shared" si="44"/>
        <v>0</v>
      </c>
      <c r="DD237">
        <f t="shared" si="45"/>
        <v>0</v>
      </c>
      <c r="DE237">
        <f t="shared" si="46"/>
        <v>0</v>
      </c>
      <c r="DF237">
        <f t="shared" si="38"/>
        <v>9792.66</v>
      </c>
    </row>
    <row r="238" spans="1:110"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f t="shared" si="39"/>
        <v>0</v>
      </c>
      <c r="CY238">
        <f t="shared" si="40"/>
        <v>2053.12</v>
      </c>
      <c r="CZ238">
        <f t="shared" si="41"/>
        <v>0</v>
      </c>
      <c r="DA238">
        <f t="shared" si="42"/>
        <v>0</v>
      </c>
      <c r="DB238">
        <f t="shared" si="43"/>
        <v>0</v>
      </c>
      <c r="DC238">
        <f t="shared" si="44"/>
        <v>0</v>
      </c>
      <c r="DD238">
        <f t="shared" si="45"/>
        <v>0</v>
      </c>
      <c r="DE238">
        <f t="shared" si="46"/>
        <v>0</v>
      </c>
      <c r="DF238">
        <f t="shared" si="38"/>
        <v>2053.12</v>
      </c>
    </row>
    <row r="239" spans="1:110"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f t="shared" si="39"/>
        <v>0</v>
      </c>
      <c r="CY239">
        <f t="shared" si="40"/>
        <v>0</v>
      </c>
      <c r="CZ239">
        <f t="shared" si="41"/>
        <v>0</v>
      </c>
      <c r="DA239">
        <f t="shared" si="42"/>
        <v>0</v>
      </c>
      <c r="DB239">
        <f t="shared" si="43"/>
        <v>0</v>
      </c>
      <c r="DC239">
        <f t="shared" si="44"/>
        <v>29449.43</v>
      </c>
      <c r="DD239">
        <f t="shared" si="45"/>
        <v>1518.33</v>
      </c>
      <c r="DE239">
        <f t="shared" si="46"/>
        <v>0</v>
      </c>
      <c r="DF239">
        <f t="shared" si="38"/>
        <v>30967.760000000002</v>
      </c>
    </row>
    <row r="240" spans="1:110"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f t="shared" si="39"/>
        <v>0</v>
      </c>
      <c r="CY240">
        <f t="shared" si="40"/>
        <v>0</v>
      </c>
      <c r="CZ240">
        <f t="shared" si="41"/>
        <v>0</v>
      </c>
      <c r="DA240">
        <f t="shared" si="42"/>
        <v>0</v>
      </c>
      <c r="DB240">
        <f t="shared" si="43"/>
        <v>0</v>
      </c>
      <c r="DC240">
        <f t="shared" si="44"/>
        <v>1649.12</v>
      </c>
      <c r="DD240">
        <f t="shared" si="45"/>
        <v>5341.8899999999994</v>
      </c>
      <c r="DE240">
        <f t="shared" si="46"/>
        <v>0</v>
      </c>
      <c r="DF240">
        <f t="shared" si="38"/>
        <v>6991.01</v>
      </c>
    </row>
    <row r="241" spans="1:110"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f t="shared" si="39"/>
        <v>0</v>
      </c>
      <c r="CY241">
        <f t="shared" si="40"/>
        <v>0</v>
      </c>
      <c r="CZ241">
        <f t="shared" si="41"/>
        <v>7790.5100000000011</v>
      </c>
      <c r="DA241">
        <f t="shared" si="42"/>
        <v>8152.9400000000005</v>
      </c>
      <c r="DB241">
        <f t="shared" si="43"/>
        <v>476.61</v>
      </c>
      <c r="DC241">
        <f t="shared" si="44"/>
        <v>0</v>
      </c>
      <c r="DD241">
        <f t="shared" si="45"/>
        <v>0</v>
      </c>
      <c r="DE241">
        <f t="shared" si="46"/>
        <v>0</v>
      </c>
      <c r="DF241">
        <f t="shared" si="38"/>
        <v>16420.060000000001</v>
      </c>
    </row>
    <row r="242" spans="1:110"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f t="shared" si="39"/>
        <v>0</v>
      </c>
      <c r="CY242">
        <f t="shared" si="40"/>
        <v>0</v>
      </c>
      <c r="CZ242">
        <f t="shared" si="41"/>
        <v>0</v>
      </c>
      <c r="DA242">
        <f t="shared" si="42"/>
        <v>0</v>
      </c>
      <c r="DB242">
        <f t="shared" si="43"/>
        <v>0</v>
      </c>
      <c r="DC242">
        <f t="shared" si="44"/>
        <v>0</v>
      </c>
      <c r="DD242">
        <f t="shared" si="45"/>
        <v>2358.25</v>
      </c>
      <c r="DE242">
        <f t="shared" si="46"/>
        <v>2148.4</v>
      </c>
      <c r="DF242">
        <f t="shared" si="38"/>
        <v>4506.6500000000005</v>
      </c>
    </row>
    <row r="243" spans="1:110"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f t="shared" si="39"/>
        <v>0</v>
      </c>
      <c r="CY243">
        <f t="shared" si="40"/>
        <v>0</v>
      </c>
      <c r="CZ243">
        <f t="shared" si="41"/>
        <v>0</v>
      </c>
      <c r="DA243">
        <f t="shared" si="42"/>
        <v>0</v>
      </c>
      <c r="DB243">
        <f t="shared" si="43"/>
        <v>0</v>
      </c>
      <c r="DC243">
        <f t="shared" si="44"/>
        <v>0</v>
      </c>
      <c r="DD243">
        <f t="shared" si="45"/>
        <v>0</v>
      </c>
      <c r="DE243">
        <f t="shared" si="46"/>
        <v>8038.8000000000011</v>
      </c>
      <c r="DF243">
        <f t="shared" si="38"/>
        <v>8038.8000000000011</v>
      </c>
    </row>
    <row r="244" spans="1:110"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f t="shared" si="39"/>
        <v>0</v>
      </c>
      <c r="CY244">
        <f t="shared" si="40"/>
        <v>0</v>
      </c>
      <c r="CZ244">
        <f t="shared" si="41"/>
        <v>0</v>
      </c>
      <c r="DA244">
        <f t="shared" si="42"/>
        <v>0</v>
      </c>
      <c r="DB244">
        <f t="shared" si="43"/>
        <v>0</v>
      </c>
      <c r="DC244">
        <f t="shared" si="44"/>
        <v>5235.96</v>
      </c>
      <c r="DD244">
        <f t="shared" si="45"/>
        <v>3260.73</v>
      </c>
      <c r="DE244">
        <f t="shared" si="46"/>
        <v>0</v>
      </c>
      <c r="DF244">
        <f t="shared" si="38"/>
        <v>8496.69</v>
      </c>
    </row>
    <row r="245" spans="1:110"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f t="shared" si="39"/>
        <v>0</v>
      </c>
      <c r="CY245">
        <f t="shared" si="40"/>
        <v>0</v>
      </c>
      <c r="CZ245">
        <f t="shared" si="41"/>
        <v>0</v>
      </c>
      <c r="DA245">
        <f t="shared" si="42"/>
        <v>0</v>
      </c>
      <c r="DB245">
        <f t="shared" si="43"/>
        <v>5779.9099999999989</v>
      </c>
      <c r="DC245">
        <f t="shared" si="44"/>
        <v>4136.25</v>
      </c>
      <c r="DD245">
        <f t="shared" si="45"/>
        <v>0</v>
      </c>
      <c r="DE245">
        <f t="shared" si="46"/>
        <v>0</v>
      </c>
      <c r="DF245">
        <f t="shared" si="38"/>
        <v>9916.16</v>
      </c>
    </row>
    <row r="246" spans="1:110"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f t="shared" si="39"/>
        <v>0</v>
      </c>
      <c r="CY246">
        <f t="shared" si="40"/>
        <v>0</v>
      </c>
      <c r="CZ246">
        <f t="shared" si="41"/>
        <v>0</v>
      </c>
      <c r="DA246">
        <f t="shared" si="42"/>
        <v>0</v>
      </c>
      <c r="DB246">
        <f t="shared" si="43"/>
        <v>0</v>
      </c>
      <c r="DC246">
        <f t="shared" si="44"/>
        <v>0</v>
      </c>
      <c r="DD246">
        <f t="shared" si="45"/>
        <v>0</v>
      </c>
      <c r="DE246">
        <f t="shared" si="46"/>
        <v>18933.84</v>
      </c>
      <c r="DF246">
        <f t="shared" si="38"/>
        <v>18933.84</v>
      </c>
    </row>
    <row r="247" spans="1:110"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f t="shared" si="39"/>
        <v>0</v>
      </c>
      <c r="CY247">
        <f t="shared" si="40"/>
        <v>0</v>
      </c>
      <c r="CZ247">
        <f t="shared" si="41"/>
        <v>1731.4899999999998</v>
      </c>
      <c r="DA247">
        <f t="shared" si="42"/>
        <v>0</v>
      </c>
      <c r="DB247">
        <f t="shared" si="43"/>
        <v>0</v>
      </c>
      <c r="DC247">
        <f t="shared" si="44"/>
        <v>0</v>
      </c>
      <c r="DD247">
        <f t="shared" si="45"/>
        <v>0</v>
      </c>
      <c r="DE247">
        <f t="shared" si="46"/>
        <v>0</v>
      </c>
      <c r="DF247">
        <f t="shared" si="38"/>
        <v>1731.4899999999998</v>
      </c>
    </row>
    <row r="248" spans="1:110"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f t="shared" si="39"/>
        <v>0</v>
      </c>
      <c r="CY248">
        <f t="shared" si="40"/>
        <v>0</v>
      </c>
      <c r="CZ248">
        <f t="shared" si="41"/>
        <v>0</v>
      </c>
      <c r="DA248">
        <f t="shared" si="42"/>
        <v>0</v>
      </c>
      <c r="DB248">
        <f t="shared" si="43"/>
        <v>0</v>
      </c>
      <c r="DC248">
        <f t="shared" si="44"/>
        <v>0</v>
      </c>
      <c r="DD248">
        <f t="shared" si="45"/>
        <v>3181.32</v>
      </c>
      <c r="DE248">
        <f t="shared" si="46"/>
        <v>0</v>
      </c>
      <c r="DF248">
        <f t="shared" si="38"/>
        <v>3181.32</v>
      </c>
    </row>
    <row r="249" spans="1:110"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f t="shared" si="39"/>
        <v>0</v>
      </c>
      <c r="CY249">
        <f t="shared" si="40"/>
        <v>0</v>
      </c>
      <c r="CZ249">
        <f t="shared" si="41"/>
        <v>0</v>
      </c>
      <c r="DA249">
        <f t="shared" si="42"/>
        <v>1306.06</v>
      </c>
      <c r="DB249">
        <f t="shared" si="43"/>
        <v>5135.2599999999993</v>
      </c>
      <c r="DC249">
        <f t="shared" si="44"/>
        <v>0</v>
      </c>
      <c r="DD249">
        <f t="shared" si="45"/>
        <v>0</v>
      </c>
      <c r="DE249">
        <f t="shared" si="46"/>
        <v>0</v>
      </c>
      <c r="DF249">
        <f t="shared" si="38"/>
        <v>6441.32</v>
      </c>
    </row>
    <row r="250" spans="1:110"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f t="shared" si="39"/>
        <v>0</v>
      </c>
      <c r="CY250">
        <f t="shared" si="40"/>
        <v>0</v>
      </c>
      <c r="CZ250">
        <f t="shared" si="41"/>
        <v>0</v>
      </c>
      <c r="DA250">
        <f t="shared" si="42"/>
        <v>0</v>
      </c>
      <c r="DB250">
        <f t="shared" si="43"/>
        <v>4286.6899999999996</v>
      </c>
      <c r="DC250">
        <f t="shared" si="44"/>
        <v>0</v>
      </c>
      <c r="DD250">
        <f t="shared" si="45"/>
        <v>0</v>
      </c>
      <c r="DE250">
        <f t="shared" si="46"/>
        <v>0</v>
      </c>
      <c r="DF250">
        <f t="shared" si="38"/>
        <v>4286.6899999999996</v>
      </c>
    </row>
    <row r="251" spans="1:110"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f t="shared" si="39"/>
        <v>0</v>
      </c>
      <c r="CY251">
        <f t="shared" si="40"/>
        <v>86.31</v>
      </c>
      <c r="CZ251">
        <f t="shared" si="41"/>
        <v>2864.5699999999997</v>
      </c>
      <c r="DA251">
        <f t="shared" si="42"/>
        <v>1955.8700000000001</v>
      </c>
      <c r="DB251">
        <f t="shared" si="43"/>
        <v>308</v>
      </c>
      <c r="DC251">
        <f t="shared" si="44"/>
        <v>0</v>
      </c>
      <c r="DD251">
        <f t="shared" si="45"/>
        <v>0</v>
      </c>
      <c r="DE251">
        <f t="shared" si="46"/>
        <v>0</v>
      </c>
      <c r="DF251">
        <f t="shared" si="38"/>
        <v>5214.75</v>
      </c>
    </row>
    <row r="252" spans="1:110"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f t="shared" si="39"/>
        <v>0</v>
      </c>
      <c r="CY252">
        <f t="shared" si="40"/>
        <v>8073.41</v>
      </c>
      <c r="CZ252">
        <f t="shared" si="41"/>
        <v>0</v>
      </c>
      <c r="DA252">
        <f t="shared" si="42"/>
        <v>0</v>
      </c>
      <c r="DB252">
        <f t="shared" si="43"/>
        <v>0</v>
      </c>
      <c r="DC252">
        <f t="shared" si="44"/>
        <v>0</v>
      </c>
      <c r="DD252">
        <f t="shared" si="45"/>
        <v>0</v>
      </c>
      <c r="DE252">
        <f t="shared" si="46"/>
        <v>0</v>
      </c>
      <c r="DF252">
        <f t="shared" si="38"/>
        <v>8073.41</v>
      </c>
    </row>
    <row r="253" spans="1:110"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f t="shared" si="39"/>
        <v>0</v>
      </c>
      <c r="CY253">
        <f t="shared" si="40"/>
        <v>0</v>
      </c>
      <c r="CZ253">
        <f t="shared" si="41"/>
        <v>0</v>
      </c>
      <c r="DA253">
        <f t="shared" si="42"/>
        <v>0</v>
      </c>
      <c r="DB253">
        <f t="shared" si="43"/>
        <v>0</v>
      </c>
      <c r="DC253">
        <f t="shared" si="44"/>
        <v>0</v>
      </c>
      <c r="DD253">
        <f t="shared" si="45"/>
        <v>9530.42</v>
      </c>
      <c r="DE253">
        <f t="shared" si="46"/>
        <v>0</v>
      </c>
      <c r="DF253">
        <f t="shared" si="38"/>
        <v>9530.42</v>
      </c>
    </row>
    <row r="254" spans="1:110"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f t="shared" si="39"/>
        <v>0</v>
      </c>
      <c r="CY254">
        <f t="shared" si="40"/>
        <v>0</v>
      </c>
      <c r="CZ254">
        <f t="shared" si="41"/>
        <v>0</v>
      </c>
      <c r="DA254">
        <f t="shared" si="42"/>
        <v>0</v>
      </c>
      <c r="DB254">
        <f t="shared" si="43"/>
        <v>0</v>
      </c>
      <c r="DC254">
        <f t="shared" si="44"/>
        <v>4736.71</v>
      </c>
      <c r="DD254">
        <f t="shared" si="45"/>
        <v>901.68</v>
      </c>
      <c r="DE254">
        <f t="shared" si="46"/>
        <v>0</v>
      </c>
      <c r="DF254">
        <f t="shared" si="38"/>
        <v>5638.39</v>
      </c>
    </row>
    <row r="255" spans="1:110"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f t="shared" si="39"/>
        <v>0</v>
      </c>
      <c r="CY255">
        <f t="shared" si="40"/>
        <v>0</v>
      </c>
      <c r="CZ255">
        <f t="shared" si="41"/>
        <v>0</v>
      </c>
      <c r="DA255">
        <f t="shared" si="42"/>
        <v>0</v>
      </c>
      <c r="DB255">
        <f t="shared" si="43"/>
        <v>0</v>
      </c>
      <c r="DC255">
        <f t="shared" si="44"/>
        <v>4712.29</v>
      </c>
      <c r="DD255">
        <f t="shared" si="45"/>
        <v>0</v>
      </c>
      <c r="DE255">
        <f t="shared" si="46"/>
        <v>0</v>
      </c>
      <c r="DF255">
        <f t="shared" si="38"/>
        <v>4712.29</v>
      </c>
    </row>
    <row r="256" spans="1:110"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f t="shared" si="39"/>
        <v>0</v>
      </c>
      <c r="CY256">
        <f t="shared" si="40"/>
        <v>0</v>
      </c>
      <c r="CZ256">
        <f t="shared" si="41"/>
        <v>0</v>
      </c>
      <c r="DA256">
        <f t="shared" si="42"/>
        <v>0</v>
      </c>
      <c r="DB256">
        <f t="shared" si="43"/>
        <v>0</v>
      </c>
      <c r="DC256">
        <f t="shared" si="44"/>
        <v>0</v>
      </c>
      <c r="DD256">
        <f t="shared" si="45"/>
        <v>12190.12</v>
      </c>
      <c r="DE256">
        <f t="shared" si="46"/>
        <v>0</v>
      </c>
      <c r="DF256">
        <f t="shared" si="38"/>
        <v>12190.12</v>
      </c>
    </row>
    <row r="257" spans="1:110"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f t="shared" si="39"/>
        <v>0</v>
      </c>
      <c r="CY257">
        <f t="shared" si="40"/>
        <v>0</v>
      </c>
      <c r="CZ257">
        <f t="shared" si="41"/>
        <v>0</v>
      </c>
      <c r="DA257">
        <f t="shared" si="42"/>
        <v>0</v>
      </c>
      <c r="DB257">
        <f t="shared" si="43"/>
        <v>0</v>
      </c>
      <c r="DC257">
        <f t="shared" si="44"/>
        <v>0</v>
      </c>
      <c r="DD257">
        <f t="shared" si="45"/>
        <v>0</v>
      </c>
      <c r="DE257">
        <f t="shared" si="46"/>
        <v>1112.06</v>
      </c>
      <c r="DF257">
        <f t="shared" si="38"/>
        <v>1112.06</v>
      </c>
    </row>
    <row r="258" spans="1:110"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f t="shared" si="39"/>
        <v>0</v>
      </c>
      <c r="CY258">
        <f t="shared" si="40"/>
        <v>0</v>
      </c>
      <c r="CZ258">
        <f t="shared" si="41"/>
        <v>0</v>
      </c>
      <c r="DA258">
        <f t="shared" si="42"/>
        <v>0</v>
      </c>
      <c r="DB258">
        <f t="shared" si="43"/>
        <v>0</v>
      </c>
      <c r="DC258">
        <f t="shared" si="44"/>
        <v>0</v>
      </c>
      <c r="DD258">
        <f t="shared" si="45"/>
        <v>0</v>
      </c>
      <c r="DE258">
        <f t="shared" si="46"/>
        <v>1351.4299999999998</v>
      </c>
      <c r="DF258">
        <f t="shared" si="38"/>
        <v>1351.4299999999998</v>
      </c>
    </row>
    <row r="259" spans="1:110"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f t="shared" si="39"/>
        <v>1045.44</v>
      </c>
      <c r="CY259">
        <f t="shared" si="40"/>
        <v>454.55</v>
      </c>
      <c r="CZ259">
        <f t="shared" si="41"/>
        <v>0</v>
      </c>
      <c r="DA259">
        <f t="shared" si="42"/>
        <v>0</v>
      </c>
      <c r="DB259">
        <f t="shared" si="43"/>
        <v>0</v>
      </c>
      <c r="DC259">
        <f t="shared" si="44"/>
        <v>0</v>
      </c>
      <c r="DD259">
        <f t="shared" si="45"/>
        <v>0</v>
      </c>
      <c r="DE259">
        <f t="shared" si="46"/>
        <v>0</v>
      </c>
      <c r="DF259">
        <f t="shared" ref="DF259:DF322" si="47">SUM(F259:CW259)</f>
        <v>1499.99</v>
      </c>
    </row>
    <row r="260" spans="1:110"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f t="shared" ref="CX260:CX323" si="48">SUM(F260:Q260)</f>
        <v>0</v>
      </c>
      <c r="CY260">
        <f t="shared" ref="CY260:CY323" si="49">SUM(R260:AC260)</f>
        <v>0</v>
      </c>
      <c r="CZ260">
        <f t="shared" ref="CZ260:CZ323" si="50">SUM(AD260:AO260)</f>
        <v>0</v>
      </c>
      <c r="DA260">
        <f t="shared" ref="DA260:DA323" si="51">SUM(AP260:BA260)</f>
        <v>0</v>
      </c>
      <c r="DB260">
        <f t="shared" ref="DB260:DB323" si="52">SUM(BB260:BM260)</f>
        <v>0</v>
      </c>
      <c r="DC260">
        <f t="shared" ref="DC260:DC323" si="53">SUM(BN260:BY260)</f>
        <v>2656.6499999999996</v>
      </c>
      <c r="DD260">
        <f t="shared" ref="DD260:DD323" si="54">SUM(BZ260:CK260)</f>
        <v>4100.5199999999995</v>
      </c>
      <c r="DE260">
        <f t="shared" ref="DE260:DE323" si="55">SUM(CL260:CW260)</f>
        <v>0</v>
      </c>
      <c r="DF260">
        <f t="shared" si="47"/>
        <v>6757.1699999999992</v>
      </c>
    </row>
    <row r="261" spans="1:110"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f t="shared" si="48"/>
        <v>0</v>
      </c>
      <c r="CY261">
        <f t="shared" si="49"/>
        <v>0</v>
      </c>
      <c r="CZ261">
        <f t="shared" si="50"/>
        <v>0</v>
      </c>
      <c r="DA261">
        <f t="shared" si="51"/>
        <v>0</v>
      </c>
      <c r="DB261">
        <f t="shared" si="52"/>
        <v>0</v>
      </c>
      <c r="DC261">
        <f t="shared" si="53"/>
        <v>6189.8399999999992</v>
      </c>
      <c r="DD261">
        <f t="shared" si="54"/>
        <v>0</v>
      </c>
      <c r="DE261">
        <f t="shared" si="55"/>
        <v>0</v>
      </c>
      <c r="DF261">
        <f t="shared" si="47"/>
        <v>6189.8399999999992</v>
      </c>
    </row>
    <row r="262" spans="1:110"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f t="shared" si="48"/>
        <v>20314.66</v>
      </c>
      <c r="CY262">
        <f t="shared" si="49"/>
        <v>14349.45</v>
      </c>
      <c r="CZ262">
        <f t="shared" si="50"/>
        <v>0</v>
      </c>
      <c r="DA262">
        <f t="shared" si="51"/>
        <v>0</v>
      </c>
      <c r="DB262">
        <f t="shared" si="52"/>
        <v>0</v>
      </c>
      <c r="DC262">
        <f t="shared" si="53"/>
        <v>0</v>
      </c>
      <c r="DD262">
        <f t="shared" si="54"/>
        <v>0</v>
      </c>
      <c r="DE262">
        <f t="shared" si="55"/>
        <v>0</v>
      </c>
      <c r="DF262">
        <f t="shared" si="47"/>
        <v>34664.11</v>
      </c>
    </row>
    <row r="263" spans="1:110"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f t="shared" si="48"/>
        <v>0</v>
      </c>
      <c r="CY263">
        <f t="shared" si="49"/>
        <v>3788.89</v>
      </c>
      <c r="CZ263">
        <f t="shared" si="50"/>
        <v>3298.35</v>
      </c>
      <c r="DA263">
        <f t="shared" si="51"/>
        <v>0</v>
      </c>
      <c r="DB263">
        <f t="shared" si="52"/>
        <v>0</v>
      </c>
      <c r="DC263">
        <f t="shared" si="53"/>
        <v>0</v>
      </c>
      <c r="DD263">
        <f t="shared" si="54"/>
        <v>0</v>
      </c>
      <c r="DE263">
        <f t="shared" si="55"/>
        <v>0</v>
      </c>
      <c r="DF263">
        <f t="shared" si="47"/>
        <v>7087.24</v>
      </c>
    </row>
    <row r="264" spans="1:110"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f t="shared" si="48"/>
        <v>0</v>
      </c>
      <c r="CY264">
        <f t="shared" si="49"/>
        <v>0</v>
      </c>
      <c r="CZ264">
        <f t="shared" si="50"/>
        <v>0</v>
      </c>
      <c r="DA264">
        <f t="shared" si="51"/>
        <v>2295.35</v>
      </c>
      <c r="DB264">
        <f t="shared" si="52"/>
        <v>11340.83</v>
      </c>
      <c r="DC264">
        <f t="shared" si="53"/>
        <v>0</v>
      </c>
      <c r="DD264">
        <f t="shared" si="54"/>
        <v>0</v>
      </c>
      <c r="DE264">
        <f t="shared" si="55"/>
        <v>0</v>
      </c>
      <c r="DF264">
        <f t="shared" si="47"/>
        <v>13636.180000000002</v>
      </c>
    </row>
    <row r="265" spans="1:110"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f t="shared" si="48"/>
        <v>0</v>
      </c>
      <c r="CY265">
        <f t="shared" si="49"/>
        <v>0</v>
      </c>
      <c r="CZ265">
        <f t="shared" si="50"/>
        <v>601.71</v>
      </c>
      <c r="DA265">
        <f t="shared" si="51"/>
        <v>2382.8000000000002</v>
      </c>
      <c r="DB265">
        <f t="shared" si="52"/>
        <v>571.88</v>
      </c>
      <c r="DC265">
        <f t="shared" si="53"/>
        <v>0</v>
      </c>
      <c r="DD265">
        <f t="shared" si="54"/>
        <v>0</v>
      </c>
      <c r="DE265">
        <f t="shared" si="55"/>
        <v>0</v>
      </c>
      <c r="DF265">
        <f t="shared" si="47"/>
        <v>3556.3900000000003</v>
      </c>
    </row>
    <row r="266" spans="1:110"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f t="shared" si="48"/>
        <v>0</v>
      </c>
      <c r="CY266">
        <f t="shared" si="49"/>
        <v>0</v>
      </c>
      <c r="CZ266">
        <f t="shared" si="50"/>
        <v>0</v>
      </c>
      <c r="DA266">
        <f t="shared" si="51"/>
        <v>0</v>
      </c>
      <c r="DB266">
        <f t="shared" si="52"/>
        <v>0</v>
      </c>
      <c r="DC266">
        <f t="shared" si="53"/>
        <v>4784.83</v>
      </c>
      <c r="DD266">
        <f t="shared" si="54"/>
        <v>581.6</v>
      </c>
      <c r="DE266">
        <f t="shared" si="55"/>
        <v>0</v>
      </c>
      <c r="DF266">
        <f t="shared" si="47"/>
        <v>5366.43</v>
      </c>
    </row>
    <row r="267" spans="1:110"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f t="shared" si="48"/>
        <v>0</v>
      </c>
      <c r="CY267">
        <f t="shared" si="49"/>
        <v>0</v>
      </c>
      <c r="CZ267">
        <f t="shared" si="50"/>
        <v>0</v>
      </c>
      <c r="DA267">
        <f t="shared" si="51"/>
        <v>0</v>
      </c>
      <c r="DB267">
        <f t="shared" si="52"/>
        <v>3289.66</v>
      </c>
      <c r="DC267">
        <f t="shared" si="53"/>
        <v>2746.75</v>
      </c>
      <c r="DD267">
        <f t="shared" si="54"/>
        <v>0</v>
      </c>
      <c r="DE267">
        <f t="shared" si="55"/>
        <v>0</v>
      </c>
      <c r="DF267">
        <f t="shared" si="47"/>
        <v>6036.41</v>
      </c>
    </row>
    <row r="268" spans="1:110"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f t="shared" si="48"/>
        <v>0</v>
      </c>
      <c r="CY268">
        <f t="shared" si="49"/>
        <v>0</v>
      </c>
      <c r="CZ268">
        <f t="shared" si="50"/>
        <v>0</v>
      </c>
      <c r="DA268">
        <f t="shared" si="51"/>
        <v>0</v>
      </c>
      <c r="DB268">
        <f t="shared" si="52"/>
        <v>1588.4099999999999</v>
      </c>
      <c r="DC268">
        <f t="shared" si="53"/>
        <v>0</v>
      </c>
      <c r="DD268">
        <f t="shared" si="54"/>
        <v>0</v>
      </c>
      <c r="DE268">
        <f t="shared" si="55"/>
        <v>0</v>
      </c>
      <c r="DF268">
        <f t="shared" si="47"/>
        <v>1588.4099999999999</v>
      </c>
    </row>
    <row r="269" spans="1:110"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f t="shared" si="48"/>
        <v>0</v>
      </c>
      <c r="CY269">
        <f t="shared" si="49"/>
        <v>0</v>
      </c>
      <c r="CZ269">
        <f t="shared" si="50"/>
        <v>0</v>
      </c>
      <c r="DA269">
        <f t="shared" si="51"/>
        <v>0</v>
      </c>
      <c r="DB269">
        <f t="shared" si="52"/>
        <v>5723.66</v>
      </c>
      <c r="DC269">
        <f t="shared" si="53"/>
        <v>1573.53</v>
      </c>
      <c r="DD269">
        <f t="shared" si="54"/>
        <v>0</v>
      </c>
      <c r="DE269">
        <f t="shared" si="55"/>
        <v>0</v>
      </c>
      <c r="DF269">
        <f t="shared" si="47"/>
        <v>7297.19</v>
      </c>
    </row>
    <row r="270" spans="1:110"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f t="shared" si="48"/>
        <v>0</v>
      </c>
      <c r="CY270">
        <f t="shared" si="49"/>
        <v>0</v>
      </c>
      <c r="CZ270">
        <f t="shared" si="50"/>
        <v>0</v>
      </c>
      <c r="DA270">
        <f t="shared" si="51"/>
        <v>0</v>
      </c>
      <c r="DB270">
        <f t="shared" si="52"/>
        <v>0</v>
      </c>
      <c r="DC270">
        <f t="shared" si="53"/>
        <v>0</v>
      </c>
      <c r="DD270">
        <f t="shared" si="54"/>
        <v>6242.54</v>
      </c>
      <c r="DE270">
        <f t="shared" si="55"/>
        <v>2127.4</v>
      </c>
      <c r="DF270">
        <f t="shared" si="47"/>
        <v>8369.94</v>
      </c>
    </row>
    <row r="271" spans="1:110"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f t="shared" si="48"/>
        <v>0</v>
      </c>
      <c r="CY271">
        <f t="shared" si="49"/>
        <v>0</v>
      </c>
      <c r="CZ271">
        <f t="shared" si="50"/>
        <v>0</v>
      </c>
      <c r="DA271">
        <f t="shared" si="51"/>
        <v>0</v>
      </c>
      <c r="DB271">
        <f t="shared" si="52"/>
        <v>12770.63</v>
      </c>
      <c r="DC271">
        <f t="shared" si="53"/>
        <v>26144.54</v>
      </c>
      <c r="DD271">
        <f t="shared" si="54"/>
        <v>1652.35</v>
      </c>
      <c r="DE271">
        <f t="shared" si="55"/>
        <v>0</v>
      </c>
      <c r="DF271">
        <f t="shared" si="47"/>
        <v>40567.519999999997</v>
      </c>
    </row>
    <row r="272" spans="1:110"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f t="shared" si="48"/>
        <v>0</v>
      </c>
      <c r="CY272">
        <f t="shared" si="49"/>
        <v>0</v>
      </c>
      <c r="CZ272">
        <f t="shared" si="50"/>
        <v>0</v>
      </c>
      <c r="DA272">
        <f t="shared" si="51"/>
        <v>4920.8999999999996</v>
      </c>
      <c r="DB272">
        <f t="shared" si="52"/>
        <v>17111.599999999999</v>
      </c>
      <c r="DC272">
        <f t="shared" si="53"/>
        <v>7100.17</v>
      </c>
      <c r="DD272">
        <f t="shared" si="54"/>
        <v>0</v>
      </c>
      <c r="DE272">
        <f t="shared" si="55"/>
        <v>0</v>
      </c>
      <c r="DF272">
        <f t="shared" si="47"/>
        <v>29132.67</v>
      </c>
    </row>
    <row r="273" spans="1:110"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f t="shared" si="48"/>
        <v>0</v>
      </c>
      <c r="CY273">
        <f t="shared" si="49"/>
        <v>0</v>
      </c>
      <c r="CZ273">
        <f t="shared" si="50"/>
        <v>3042.62</v>
      </c>
      <c r="DA273">
        <f t="shared" si="51"/>
        <v>0</v>
      </c>
      <c r="DB273">
        <f t="shared" si="52"/>
        <v>0</v>
      </c>
      <c r="DC273">
        <f t="shared" si="53"/>
        <v>0</v>
      </c>
      <c r="DD273">
        <f t="shared" si="54"/>
        <v>0</v>
      </c>
      <c r="DE273">
        <f t="shared" si="55"/>
        <v>0</v>
      </c>
      <c r="DF273">
        <f t="shared" si="47"/>
        <v>3042.62</v>
      </c>
    </row>
    <row r="274" spans="1:110"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f t="shared" si="48"/>
        <v>0</v>
      </c>
      <c r="CY274">
        <f t="shared" si="49"/>
        <v>0</v>
      </c>
      <c r="CZ274">
        <f t="shared" si="50"/>
        <v>0</v>
      </c>
      <c r="DA274">
        <f t="shared" si="51"/>
        <v>0</v>
      </c>
      <c r="DB274">
        <f t="shared" si="52"/>
        <v>0</v>
      </c>
      <c r="DC274">
        <f t="shared" si="53"/>
        <v>611.92999999999995</v>
      </c>
      <c r="DD274">
        <f t="shared" si="54"/>
        <v>2580.2199999999998</v>
      </c>
      <c r="DE274">
        <f t="shared" si="55"/>
        <v>0</v>
      </c>
      <c r="DF274">
        <f t="shared" si="47"/>
        <v>3192.15</v>
      </c>
    </row>
    <row r="275" spans="1:110"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f t="shared" si="48"/>
        <v>0</v>
      </c>
      <c r="CY275">
        <f t="shared" si="49"/>
        <v>0</v>
      </c>
      <c r="CZ275">
        <f t="shared" si="50"/>
        <v>0</v>
      </c>
      <c r="DA275">
        <f t="shared" si="51"/>
        <v>0</v>
      </c>
      <c r="DB275">
        <f t="shared" si="52"/>
        <v>0</v>
      </c>
      <c r="DC275">
        <f t="shared" si="53"/>
        <v>0</v>
      </c>
      <c r="DD275">
        <f t="shared" si="54"/>
        <v>8120.74</v>
      </c>
      <c r="DE275">
        <f t="shared" si="55"/>
        <v>3896.3199999999997</v>
      </c>
      <c r="DF275">
        <f t="shared" si="47"/>
        <v>12017.06</v>
      </c>
    </row>
    <row r="276" spans="1:110"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f t="shared" si="48"/>
        <v>0</v>
      </c>
      <c r="CY276">
        <f t="shared" si="49"/>
        <v>0</v>
      </c>
      <c r="CZ276">
        <f t="shared" si="50"/>
        <v>2836.27</v>
      </c>
      <c r="DA276">
        <f t="shared" si="51"/>
        <v>440.85</v>
      </c>
      <c r="DB276">
        <f t="shared" si="52"/>
        <v>0</v>
      </c>
      <c r="DC276">
        <f t="shared" si="53"/>
        <v>0</v>
      </c>
      <c r="DD276">
        <f t="shared" si="54"/>
        <v>0</v>
      </c>
      <c r="DE276">
        <f t="shared" si="55"/>
        <v>0</v>
      </c>
      <c r="DF276">
        <f t="shared" si="47"/>
        <v>3277.12</v>
      </c>
    </row>
    <row r="277" spans="1:110"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f t="shared" si="48"/>
        <v>0</v>
      </c>
      <c r="CY277">
        <f t="shared" si="49"/>
        <v>0</v>
      </c>
      <c r="CZ277">
        <f t="shared" si="50"/>
        <v>0</v>
      </c>
      <c r="DA277">
        <f t="shared" si="51"/>
        <v>0</v>
      </c>
      <c r="DB277">
        <f t="shared" si="52"/>
        <v>0</v>
      </c>
      <c r="DC277">
        <f t="shared" si="53"/>
        <v>0</v>
      </c>
      <c r="DD277">
        <f t="shared" si="54"/>
        <v>4680.8900000000003</v>
      </c>
      <c r="DE277">
        <f t="shared" si="55"/>
        <v>0</v>
      </c>
      <c r="DF277">
        <f t="shared" si="47"/>
        <v>4680.8900000000003</v>
      </c>
    </row>
    <row r="278" spans="1:110"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f t="shared" si="48"/>
        <v>0</v>
      </c>
      <c r="CY278">
        <f t="shared" si="49"/>
        <v>0</v>
      </c>
      <c r="CZ278">
        <f t="shared" si="50"/>
        <v>0</v>
      </c>
      <c r="DA278">
        <f t="shared" si="51"/>
        <v>0</v>
      </c>
      <c r="DB278">
        <f t="shared" si="52"/>
        <v>0</v>
      </c>
      <c r="DC278">
        <f t="shared" si="53"/>
        <v>2766.17</v>
      </c>
      <c r="DD278">
        <f t="shared" si="54"/>
        <v>856.56</v>
      </c>
      <c r="DE278">
        <f t="shared" si="55"/>
        <v>0</v>
      </c>
      <c r="DF278">
        <f t="shared" si="47"/>
        <v>3622.73</v>
      </c>
    </row>
    <row r="279" spans="1:110"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f t="shared" si="48"/>
        <v>0</v>
      </c>
      <c r="CY279">
        <f t="shared" si="49"/>
        <v>0</v>
      </c>
      <c r="CZ279">
        <f t="shared" si="50"/>
        <v>1671.94</v>
      </c>
      <c r="DA279">
        <f t="shared" si="51"/>
        <v>1323.82</v>
      </c>
      <c r="DB279">
        <f t="shared" si="52"/>
        <v>0</v>
      </c>
      <c r="DC279">
        <f t="shared" si="53"/>
        <v>0</v>
      </c>
      <c r="DD279">
        <f t="shared" si="54"/>
        <v>0</v>
      </c>
      <c r="DE279">
        <f t="shared" si="55"/>
        <v>0</v>
      </c>
      <c r="DF279">
        <f t="shared" si="47"/>
        <v>2995.76</v>
      </c>
    </row>
    <row r="280" spans="1:110"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f t="shared" si="48"/>
        <v>6715.31</v>
      </c>
      <c r="CY280">
        <f t="shared" si="49"/>
        <v>0</v>
      </c>
      <c r="CZ280">
        <f t="shared" si="50"/>
        <v>0</v>
      </c>
      <c r="DA280">
        <f t="shared" si="51"/>
        <v>0</v>
      </c>
      <c r="DB280">
        <f t="shared" si="52"/>
        <v>0</v>
      </c>
      <c r="DC280">
        <f t="shared" si="53"/>
        <v>0</v>
      </c>
      <c r="DD280">
        <f t="shared" si="54"/>
        <v>0</v>
      </c>
      <c r="DE280">
        <f t="shared" si="55"/>
        <v>0</v>
      </c>
      <c r="DF280">
        <f t="shared" si="47"/>
        <v>6715.31</v>
      </c>
    </row>
    <row r="281" spans="1:110"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f t="shared" si="48"/>
        <v>0</v>
      </c>
      <c r="CY281">
        <f t="shared" si="49"/>
        <v>0</v>
      </c>
      <c r="CZ281">
        <f t="shared" si="50"/>
        <v>14344.050000000001</v>
      </c>
      <c r="DA281">
        <f t="shared" si="51"/>
        <v>26724.199999999997</v>
      </c>
      <c r="DB281">
        <f t="shared" si="52"/>
        <v>13505.59</v>
      </c>
      <c r="DC281">
        <f t="shared" si="53"/>
        <v>0</v>
      </c>
      <c r="DD281">
        <f t="shared" si="54"/>
        <v>0</v>
      </c>
      <c r="DE281">
        <f t="shared" si="55"/>
        <v>0</v>
      </c>
      <c r="DF281">
        <f t="shared" si="47"/>
        <v>54573.840000000004</v>
      </c>
    </row>
    <row r="282" spans="1:110"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f t="shared" si="48"/>
        <v>0</v>
      </c>
      <c r="CY282">
        <f t="shared" si="49"/>
        <v>0</v>
      </c>
      <c r="CZ282">
        <f t="shared" si="50"/>
        <v>0</v>
      </c>
      <c r="DA282">
        <f t="shared" si="51"/>
        <v>0</v>
      </c>
      <c r="DB282">
        <f t="shared" si="52"/>
        <v>0</v>
      </c>
      <c r="DC282">
        <f t="shared" si="53"/>
        <v>2350.63</v>
      </c>
      <c r="DD282">
        <f t="shared" si="54"/>
        <v>2463.89</v>
      </c>
      <c r="DE282">
        <f t="shared" si="55"/>
        <v>0</v>
      </c>
      <c r="DF282">
        <f t="shared" si="47"/>
        <v>4814.5200000000004</v>
      </c>
    </row>
    <row r="283" spans="1:110"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f t="shared" si="48"/>
        <v>0</v>
      </c>
      <c r="CY283">
        <f t="shared" si="49"/>
        <v>0</v>
      </c>
      <c r="CZ283">
        <f t="shared" si="50"/>
        <v>0</v>
      </c>
      <c r="DA283">
        <f t="shared" si="51"/>
        <v>0</v>
      </c>
      <c r="DB283">
        <f t="shared" si="52"/>
        <v>18448.539999999997</v>
      </c>
      <c r="DC283">
        <f t="shared" si="53"/>
        <v>10030.76</v>
      </c>
      <c r="DD283">
        <f t="shared" si="54"/>
        <v>0</v>
      </c>
      <c r="DE283">
        <f t="shared" si="55"/>
        <v>0</v>
      </c>
      <c r="DF283">
        <f t="shared" si="47"/>
        <v>28479.3</v>
      </c>
    </row>
    <row r="284" spans="1:110"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f t="shared" si="48"/>
        <v>0</v>
      </c>
      <c r="CY284">
        <f t="shared" si="49"/>
        <v>0</v>
      </c>
      <c r="CZ284">
        <f t="shared" si="50"/>
        <v>0</v>
      </c>
      <c r="DA284">
        <f t="shared" si="51"/>
        <v>0</v>
      </c>
      <c r="DB284">
        <f t="shared" si="52"/>
        <v>0</v>
      </c>
      <c r="DC284">
        <f t="shared" si="53"/>
        <v>3631.42</v>
      </c>
      <c r="DD284">
        <f t="shared" si="54"/>
        <v>1965.42</v>
      </c>
      <c r="DE284">
        <f t="shared" si="55"/>
        <v>0</v>
      </c>
      <c r="DF284">
        <f t="shared" si="47"/>
        <v>5596.84</v>
      </c>
    </row>
    <row r="285" spans="1:110"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f t="shared" si="48"/>
        <v>0</v>
      </c>
      <c r="CY285">
        <f t="shared" si="49"/>
        <v>0</v>
      </c>
      <c r="CZ285">
        <f t="shared" si="50"/>
        <v>0</v>
      </c>
      <c r="DA285">
        <f t="shared" si="51"/>
        <v>0</v>
      </c>
      <c r="DB285">
        <f t="shared" si="52"/>
        <v>5731.86</v>
      </c>
      <c r="DC285">
        <f t="shared" si="53"/>
        <v>0</v>
      </c>
      <c r="DD285">
        <f t="shared" si="54"/>
        <v>0</v>
      </c>
      <c r="DE285">
        <f t="shared" si="55"/>
        <v>0</v>
      </c>
      <c r="DF285">
        <f t="shared" si="47"/>
        <v>5731.86</v>
      </c>
    </row>
    <row r="286" spans="1:110"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f t="shared" si="48"/>
        <v>0</v>
      </c>
      <c r="CY286">
        <f t="shared" si="49"/>
        <v>0</v>
      </c>
      <c r="CZ286">
        <f t="shared" si="50"/>
        <v>3454.1899999999996</v>
      </c>
      <c r="DA286">
        <f t="shared" si="51"/>
        <v>769.43</v>
      </c>
      <c r="DB286">
        <f t="shared" si="52"/>
        <v>0</v>
      </c>
      <c r="DC286">
        <f t="shared" si="53"/>
        <v>0</v>
      </c>
      <c r="DD286">
        <f t="shared" si="54"/>
        <v>0</v>
      </c>
      <c r="DE286">
        <f t="shared" si="55"/>
        <v>0</v>
      </c>
      <c r="DF286">
        <f t="shared" si="47"/>
        <v>4223.62</v>
      </c>
    </row>
    <row r="287" spans="1:110"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f t="shared" si="48"/>
        <v>41363.980000000003</v>
      </c>
      <c r="CY287">
        <f t="shared" si="49"/>
        <v>0</v>
      </c>
      <c r="CZ287">
        <f t="shared" si="50"/>
        <v>0</v>
      </c>
      <c r="DA287">
        <f t="shared" si="51"/>
        <v>0</v>
      </c>
      <c r="DB287">
        <f t="shared" si="52"/>
        <v>0</v>
      </c>
      <c r="DC287">
        <f t="shared" si="53"/>
        <v>0</v>
      </c>
      <c r="DD287">
        <f t="shared" si="54"/>
        <v>0</v>
      </c>
      <c r="DE287">
        <f t="shared" si="55"/>
        <v>0</v>
      </c>
      <c r="DF287">
        <f t="shared" si="47"/>
        <v>41363.980000000003</v>
      </c>
    </row>
    <row r="288" spans="1:110"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f t="shared" si="48"/>
        <v>0</v>
      </c>
      <c r="CY288">
        <f t="shared" si="49"/>
        <v>0</v>
      </c>
      <c r="CZ288">
        <f t="shared" si="50"/>
        <v>0</v>
      </c>
      <c r="DA288">
        <f t="shared" si="51"/>
        <v>0</v>
      </c>
      <c r="DB288">
        <f t="shared" si="52"/>
        <v>687.18</v>
      </c>
      <c r="DC288">
        <f t="shared" si="53"/>
        <v>3501.9500000000003</v>
      </c>
      <c r="DD288">
        <f t="shared" si="54"/>
        <v>0</v>
      </c>
      <c r="DE288">
        <f t="shared" si="55"/>
        <v>0</v>
      </c>
      <c r="DF288">
        <f t="shared" si="47"/>
        <v>4189.13</v>
      </c>
    </row>
    <row r="289" spans="1:110"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f t="shared" si="48"/>
        <v>0</v>
      </c>
      <c r="CY289">
        <f t="shared" si="49"/>
        <v>0</v>
      </c>
      <c r="CZ289">
        <f t="shared" si="50"/>
        <v>0</v>
      </c>
      <c r="DA289">
        <f t="shared" si="51"/>
        <v>0</v>
      </c>
      <c r="DB289">
        <f t="shared" si="52"/>
        <v>11022.75</v>
      </c>
      <c r="DC289">
        <f t="shared" si="53"/>
        <v>0</v>
      </c>
      <c r="DD289">
        <f t="shared" si="54"/>
        <v>0</v>
      </c>
      <c r="DE289">
        <f t="shared" si="55"/>
        <v>0</v>
      </c>
      <c r="DF289">
        <f t="shared" si="47"/>
        <v>11022.75</v>
      </c>
    </row>
    <row r="290" spans="1:110"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f t="shared" si="48"/>
        <v>0</v>
      </c>
      <c r="CY290">
        <f t="shared" si="49"/>
        <v>0</v>
      </c>
      <c r="CZ290">
        <f t="shared" si="50"/>
        <v>0</v>
      </c>
      <c r="DA290">
        <f t="shared" si="51"/>
        <v>0</v>
      </c>
      <c r="DB290">
        <f t="shared" si="52"/>
        <v>0</v>
      </c>
      <c r="DC290">
        <f t="shared" si="53"/>
        <v>0</v>
      </c>
      <c r="DD290">
        <f t="shared" si="54"/>
        <v>5262.49</v>
      </c>
      <c r="DE290">
        <f t="shared" si="55"/>
        <v>0</v>
      </c>
      <c r="DF290">
        <f t="shared" si="47"/>
        <v>5262.49</v>
      </c>
    </row>
    <row r="291" spans="1:110"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f t="shared" si="48"/>
        <v>0</v>
      </c>
      <c r="CY291">
        <f t="shared" si="49"/>
        <v>0</v>
      </c>
      <c r="CZ291">
        <f t="shared" si="50"/>
        <v>0</v>
      </c>
      <c r="DA291">
        <f t="shared" si="51"/>
        <v>18464.34</v>
      </c>
      <c r="DB291">
        <f t="shared" si="52"/>
        <v>4420.42</v>
      </c>
      <c r="DC291">
        <f t="shared" si="53"/>
        <v>0</v>
      </c>
      <c r="DD291">
        <f t="shared" si="54"/>
        <v>0</v>
      </c>
      <c r="DE291">
        <f t="shared" si="55"/>
        <v>0</v>
      </c>
      <c r="DF291">
        <f t="shared" si="47"/>
        <v>22884.760000000002</v>
      </c>
    </row>
    <row r="292" spans="1:110"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f t="shared" si="48"/>
        <v>0</v>
      </c>
      <c r="CY292">
        <f t="shared" si="49"/>
        <v>0</v>
      </c>
      <c r="CZ292">
        <f t="shared" si="50"/>
        <v>0</v>
      </c>
      <c r="DA292">
        <f t="shared" si="51"/>
        <v>0</v>
      </c>
      <c r="DB292">
        <f t="shared" si="52"/>
        <v>0</v>
      </c>
      <c r="DC292">
        <f t="shared" si="53"/>
        <v>0</v>
      </c>
      <c r="DD292">
        <f t="shared" si="54"/>
        <v>640.15000000000009</v>
      </c>
      <c r="DE292">
        <f t="shared" si="55"/>
        <v>3676.6099999999997</v>
      </c>
      <c r="DF292">
        <f t="shared" si="47"/>
        <v>4316.76</v>
      </c>
    </row>
    <row r="293" spans="1:110"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f t="shared" si="48"/>
        <v>0</v>
      </c>
      <c r="CY293">
        <f t="shared" si="49"/>
        <v>0</v>
      </c>
      <c r="CZ293">
        <f t="shared" si="50"/>
        <v>2596.4899999999998</v>
      </c>
      <c r="DA293">
        <f t="shared" si="51"/>
        <v>159.66999999999999</v>
      </c>
      <c r="DB293">
        <f t="shared" si="52"/>
        <v>0</v>
      </c>
      <c r="DC293">
        <f t="shared" si="53"/>
        <v>0</v>
      </c>
      <c r="DD293">
        <f t="shared" si="54"/>
        <v>0</v>
      </c>
      <c r="DE293">
        <f t="shared" si="55"/>
        <v>0</v>
      </c>
      <c r="DF293">
        <f t="shared" si="47"/>
        <v>2756.16</v>
      </c>
    </row>
    <row r="294" spans="1:110"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f t="shared" si="48"/>
        <v>0</v>
      </c>
      <c r="CY294">
        <f t="shared" si="49"/>
        <v>0</v>
      </c>
      <c r="CZ294">
        <f t="shared" si="50"/>
        <v>0</v>
      </c>
      <c r="DA294">
        <f t="shared" si="51"/>
        <v>0</v>
      </c>
      <c r="DB294">
        <f t="shared" si="52"/>
        <v>0</v>
      </c>
      <c r="DC294">
        <f t="shared" si="53"/>
        <v>0</v>
      </c>
      <c r="DD294">
        <f t="shared" si="54"/>
        <v>0</v>
      </c>
      <c r="DE294">
        <f t="shared" si="55"/>
        <v>1247.0999999999999</v>
      </c>
      <c r="DF294">
        <f t="shared" si="47"/>
        <v>1247.0999999999999</v>
      </c>
    </row>
    <row r="295" spans="1:110"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f t="shared" si="48"/>
        <v>0</v>
      </c>
      <c r="CY295">
        <f t="shared" si="49"/>
        <v>2633.8399999999997</v>
      </c>
      <c r="CZ295">
        <f t="shared" si="50"/>
        <v>2743.34</v>
      </c>
      <c r="DA295">
        <f t="shared" si="51"/>
        <v>520.36</v>
      </c>
      <c r="DB295">
        <f t="shared" si="52"/>
        <v>0</v>
      </c>
      <c r="DC295">
        <f t="shared" si="53"/>
        <v>0</v>
      </c>
      <c r="DD295">
        <f t="shared" si="54"/>
        <v>0</v>
      </c>
      <c r="DE295">
        <f t="shared" si="55"/>
        <v>0</v>
      </c>
      <c r="DF295">
        <f t="shared" si="47"/>
        <v>5897.5399999999991</v>
      </c>
    </row>
    <row r="296" spans="1:110"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f t="shared" si="48"/>
        <v>0</v>
      </c>
      <c r="CY296">
        <f t="shared" si="49"/>
        <v>0</v>
      </c>
      <c r="CZ296">
        <f t="shared" si="50"/>
        <v>0</v>
      </c>
      <c r="DA296">
        <f t="shared" si="51"/>
        <v>6021.19</v>
      </c>
      <c r="DB296">
        <f t="shared" si="52"/>
        <v>0</v>
      </c>
      <c r="DC296">
        <f t="shared" si="53"/>
        <v>0</v>
      </c>
      <c r="DD296">
        <f t="shared" si="54"/>
        <v>0</v>
      </c>
      <c r="DE296">
        <f t="shared" si="55"/>
        <v>0</v>
      </c>
      <c r="DF296">
        <f t="shared" si="47"/>
        <v>6021.19</v>
      </c>
    </row>
    <row r="297" spans="1:110"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f t="shared" si="48"/>
        <v>3667.6</v>
      </c>
      <c r="CY297">
        <f t="shared" si="49"/>
        <v>0</v>
      </c>
      <c r="CZ297">
        <f t="shared" si="50"/>
        <v>0</v>
      </c>
      <c r="DA297">
        <f t="shared" si="51"/>
        <v>0</v>
      </c>
      <c r="DB297">
        <f t="shared" si="52"/>
        <v>0</v>
      </c>
      <c r="DC297">
        <f t="shared" si="53"/>
        <v>0</v>
      </c>
      <c r="DD297">
        <f t="shared" si="54"/>
        <v>0</v>
      </c>
      <c r="DE297">
        <f t="shared" si="55"/>
        <v>0</v>
      </c>
      <c r="DF297">
        <f t="shared" si="47"/>
        <v>3667.6</v>
      </c>
    </row>
    <row r="298" spans="1:110"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f t="shared" si="48"/>
        <v>7372.43</v>
      </c>
      <c r="CY298">
        <f t="shared" si="49"/>
        <v>2635.26</v>
      </c>
      <c r="CZ298">
        <f t="shared" si="50"/>
        <v>0</v>
      </c>
      <c r="DA298">
        <f t="shared" si="51"/>
        <v>0</v>
      </c>
      <c r="DB298">
        <f t="shared" si="52"/>
        <v>0</v>
      </c>
      <c r="DC298">
        <f t="shared" si="53"/>
        <v>0</v>
      </c>
      <c r="DD298">
        <f t="shared" si="54"/>
        <v>0</v>
      </c>
      <c r="DE298">
        <f t="shared" si="55"/>
        <v>0</v>
      </c>
      <c r="DF298">
        <f t="shared" si="47"/>
        <v>10007.69</v>
      </c>
    </row>
    <row r="299" spans="1:110"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f t="shared" si="48"/>
        <v>0</v>
      </c>
      <c r="CY299">
        <f t="shared" si="49"/>
        <v>0</v>
      </c>
      <c r="CZ299">
        <f t="shared" si="50"/>
        <v>0</v>
      </c>
      <c r="DA299">
        <f t="shared" si="51"/>
        <v>0</v>
      </c>
      <c r="DB299">
        <f t="shared" si="52"/>
        <v>0</v>
      </c>
      <c r="DC299">
        <f t="shared" si="53"/>
        <v>0</v>
      </c>
      <c r="DD299">
        <f t="shared" si="54"/>
        <v>1140.07</v>
      </c>
      <c r="DE299">
        <f t="shared" si="55"/>
        <v>0</v>
      </c>
      <c r="DF299">
        <f t="shared" si="47"/>
        <v>1140.07</v>
      </c>
    </row>
    <row r="300" spans="1:110"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f t="shared" si="48"/>
        <v>0</v>
      </c>
      <c r="CY300">
        <f t="shared" si="49"/>
        <v>0</v>
      </c>
      <c r="CZ300">
        <f t="shared" si="50"/>
        <v>0</v>
      </c>
      <c r="DA300">
        <f t="shared" si="51"/>
        <v>0</v>
      </c>
      <c r="DB300">
        <f t="shared" si="52"/>
        <v>0</v>
      </c>
      <c r="DC300">
        <f t="shared" si="53"/>
        <v>0</v>
      </c>
      <c r="DD300">
        <f t="shared" si="54"/>
        <v>9771</v>
      </c>
      <c r="DE300">
        <f t="shared" si="55"/>
        <v>0</v>
      </c>
      <c r="DF300">
        <f t="shared" si="47"/>
        <v>9771</v>
      </c>
    </row>
    <row r="301" spans="1:110"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f t="shared" si="48"/>
        <v>4935.8600000000006</v>
      </c>
      <c r="CY301">
        <f t="shared" si="49"/>
        <v>3327.92</v>
      </c>
      <c r="CZ301">
        <f t="shared" si="50"/>
        <v>0</v>
      </c>
      <c r="DA301">
        <f t="shared" si="51"/>
        <v>0</v>
      </c>
      <c r="DB301">
        <f t="shared" si="52"/>
        <v>0</v>
      </c>
      <c r="DC301">
        <f t="shared" si="53"/>
        <v>0</v>
      </c>
      <c r="DD301">
        <f t="shared" si="54"/>
        <v>0</v>
      </c>
      <c r="DE301">
        <f t="shared" si="55"/>
        <v>0</v>
      </c>
      <c r="DF301">
        <f t="shared" si="47"/>
        <v>8263.7800000000007</v>
      </c>
    </row>
    <row r="302" spans="1:110"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f t="shared" si="48"/>
        <v>0</v>
      </c>
      <c r="CY302">
        <f t="shared" si="49"/>
        <v>0</v>
      </c>
      <c r="CZ302">
        <f t="shared" si="50"/>
        <v>0</v>
      </c>
      <c r="DA302">
        <f t="shared" si="51"/>
        <v>0</v>
      </c>
      <c r="DB302">
        <f t="shared" si="52"/>
        <v>0</v>
      </c>
      <c r="DC302">
        <f t="shared" si="53"/>
        <v>7898.33</v>
      </c>
      <c r="DD302">
        <f t="shared" si="54"/>
        <v>0</v>
      </c>
      <c r="DE302">
        <f t="shared" si="55"/>
        <v>0</v>
      </c>
      <c r="DF302">
        <f t="shared" si="47"/>
        <v>7898.33</v>
      </c>
    </row>
    <row r="303" spans="1:110"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f t="shared" si="48"/>
        <v>0</v>
      </c>
      <c r="CY303">
        <f t="shared" si="49"/>
        <v>0</v>
      </c>
      <c r="CZ303">
        <f t="shared" si="50"/>
        <v>0</v>
      </c>
      <c r="DA303">
        <f t="shared" si="51"/>
        <v>0</v>
      </c>
      <c r="DB303">
        <f t="shared" si="52"/>
        <v>0</v>
      </c>
      <c r="DC303">
        <f t="shared" si="53"/>
        <v>0</v>
      </c>
      <c r="DD303">
        <f t="shared" si="54"/>
        <v>11713.94</v>
      </c>
      <c r="DE303">
        <f t="shared" si="55"/>
        <v>0</v>
      </c>
      <c r="DF303">
        <f t="shared" si="47"/>
        <v>11713.94</v>
      </c>
    </row>
    <row r="304" spans="1:110"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f t="shared" si="48"/>
        <v>0</v>
      </c>
      <c r="CY304">
        <f t="shared" si="49"/>
        <v>0</v>
      </c>
      <c r="CZ304">
        <f t="shared" si="50"/>
        <v>0</v>
      </c>
      <c r="DA304">
        <f t="shared" si="51"/>
        <v>1984.3600000000001</v>
      </c>
      <c r="DB304">
        <f t="shared" si="52"/>
        <v>820.86</v>
      </c>
      <c r="DC304">
        <f t="shared" si="53"/>
        <v>0</v>
      </c>
      <c r="DD304">
        <f t="shared" si="54"/>
        <v>0</v>
      </c>
      <c r="DE304">
        <f t="shared" si="55"/>
        <v>0</v>
      </c>
      <c r="DF304">
        <f t="shared" si="47"/>
        <v>2805.2200000000003</v>
      </c>
    </row>
    <row r="305" spans="1:110"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f t="shared" si="48"/>
        <v>0</v>
      </c>
      <c r="CY305">
        <f t="shared" si="49"/>
        <v>0</v>
      </c>
      <c r="CZ305">
        <f t="shared" si="50"/>
        <v>0</v>
      </c>
      <c r="DA305">
        <f t="shared" si="51"/>
        <v>0</v>
      </c>
      <c r="DB305">
        <f t="shared" si="52"/>
        <v>0</v>
      </c>
      <c r="DC305">
        <f t="shared" si="53"/>
        <v>0</v>
      </c>
      <c r="DD305">
        <f t="shared" si="54"/>
        <v>0</v>
      </c>
      <c r="DE305">
        <f t="shared" si="55"/>
        <v>519.82000000000005</v>
      </c>
      <c r="DF305">
        <f t="shared" si="47"/>
        <v>519.82000000000005</v>
      </c>
    </row>
    <row r="306" spans="1:110"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f t="shared" si="48"/>
        <v>0</v>
      </c>
      <c r="CY306">
        <f t="shared" si="49"/>
        <v>0</v>
      </c>
      <c r="CZ306">
        <f t="shared" si="50"/>
        <v>0</v>
      </c>
      <c r="DA306">
        <f t="shared" si="51"/>
        <v>0</v>
      </c>
      <c r="DB306">
        <f t="shared" si="52"/>
        <v>0</v>
      </c>
      <c r="DC306">
        <f t="shared" si="53"/>
        <v>0</v>
      </c>
      <c r="DD306">
        <f t="shared" si="54"/>
        <v>7179.0499999999993</v>
      </c>
      <c r="DE306">
        <f t="shared" si="55"/>
        <v>0</v>
      </c>
      <c r="DF306">
        <f t="shared" si="47"/>
        <v>7179.0499999999993</v>
      </c>
    </row>
    <row r="307" spans="1:110"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f t="shared" si="48"/>
        <v>0</v>
      </c>
      <c r="CY307">
        <f t="shared" si="49"/>
        <v>0</v>
      </c>
      <c r="CZ307">
        <f t="shared" si="50"/>
        <v>0</v>
      </c>
      <c r="DA307">
        <f t="shared" si="51"/>
        <v>1421.8899999999999</v>
      </c>
      <c r="DB307">
        <f t="shared" si="52"/>
        <v>1823.09</v>
      </c>
      <c r="DC307">
        <f t="shared" si="53"/>
        <v>0</v>
      </c>
      <c r="DD307">
        <f t="shared" si="54"/>
        <v>0</v>
      </c>
      <c r="DE307">
        <f t="shared" si="55"/>
        <v>0</v>
      </c>
      <c r="DF307">
        <f t="shared" si="47"/>
        <v>3244.9799999999996</v>
      </c>
    </row>
    <row r="308" spans="1:110"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f t="shared" si="48"/>
        <v>0</v>
      </c>
      <c r="CY308">
        <f t="shared" si="49"/>
        <v>0</v>
      </c>
      <c r="CZ308">
        <f t="shared" si="50"/>
        <v>0</v>
      </c>
      <c r="DA308">
        <f t="shared" si="51"/>
        <v>0</v>
      </c>
      <c r="DB308">
        <f t="shared" si="52"/>
        <v>0</v>
      </c>
      <c r="DC308">
        <f t="shared" si="53"/>
        <v>0</v>
      </c>
      <c r="DD308">
        <f t="shared" si="54"/>
        <v>0</v>
      </c>
      <c r="DE308">
        <f t="shared" si="55"/>
        <v>6248.32</v>
      </c>
      <c r="DF308">
        <f t="shared" si="47"/>
        <v>6248.32</v>
      </c>
    </row>
    <row r="309" spans="1:110"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f t="shared" si="48"/>
        <v>0</v>
      </c>
      <c r="CY309">
        <f t="shared" si="49"/>
        <v>0</v>
      </c>
      <c r="CZ309">
        <f t="shared" si="50"/>
        <v>0</v>
      </c>
      <c r="DA309">
        <f t="shared" si="51"/>
        <v>0</v>
      </c>
      <c r="DB309">
        <f t="shared" si="52"/>
        <v>0</v>
      </c>
      <c r="DC309">
        <f t="shared" si="53"/>
        <v>0</v>
      </c>
      <c r="DD309">
        <f t="shared" si="54"/>
        <v>0</v>
      </c>
      <c r="DE309">
        <f t="shared" si="55"/>
        <v>5010.05</v>
      </c>
      <c r="DF309">
        <f t="shared" si="47"/>
        <v>5010.05</v>
      </c>
    </row>
    <row r="310" spans="1:110"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f t="shared" si="48"/>
        <v>0</v>
      </c>
      <c r="CY310">
        <f t="shared" si="49"/>
        <v>0</v>
      </c>
      <c r="CZ310">
        <f t="shared" si="50"/>
        <v>0</v>
      </c>
      <c r="DA310">
        <f t="shared" si="51"/>
        <v>0</v>
      </c>
      <c r="DB310">
        <f t="shared" si="52"/>
        <v>0</v>
      </c>
      <c r="DC310">
        <f t="shared" si="53"/>
        <v>6356.26</v>
      </c>
      <c r="DD310">
        <f t="shared" si="54"/>
        <v>0</v>
      </c>
      <c r="DE310">
        <f t="shared" si="55"/>
        <v>0</v>
      </c>
      <c r="DF310">
        <f t="shared" si="47"/>
        <v>6356.26</v>
      </c>
    </row>
    <row r="311" spans="1:110"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f t="shared" si="48"/>
        <v>0</v>
      </c>
      <c r="CY311">
        <f t="shared" si="49"/>
        <v>0</v>
      </c>
      <c r="CZ311">
        <f t="shared" si="50"/>
        <v>0</v>
      </c>
      <c r="DA311">
        <f t="shared" si="51"/>
        <v>0</v>
      </c>
      <c r="DB311">
        <f t="shared" si="52"/>
        <v>0</v>
      </c>
      <c r="DC311">
        <f t="shared" si="53"/>
        <v>46672.2</v>
      </c>
      <c r="DD311">
        <f t="shared" si="54"/>
        <v>268900.63</v>
      </c>
      <c r="DE311">
        <f t="shared" si="55"/>
        <v>0</v>
      </c>
      <c r="DF311">
        <f t="shared" si="47"/>
        <v>315572.82999999996</v>
      </c>
    </row>
    <row r="312" spans="1:110"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f t="shared" si="48"/>
        <v>0</v>
      </c>
      <c r="CY312">
        <f t="shared" si="49"/>
        <v>0</v>
      </c>
      <c r="CZ312">
        <f t="shared" si="50"/>
        <v>0</v>
      </c>
      <c r="DA312">
        <f t="shared" si="51"/>
        <v>0</v>
      </c>
      <c r="DB312">
        <f t="shared" si="52"/>
        <v>0</v>
      </c>
      <c r="DC312">
        <f t="shared" si="53"/>
        <v>0</v>
      </c>
      <c r="DD312">
        <f t="shared" si="54"/>
        <v>0</v>
      </c>
      <c r="DE312">
        <f t="shared" si="55"/>
        <v>5897.55</v>
      </c>
      <c r="DF312">
        <f t="shared" si="47"/>
        <v>5897.55</v>
      </c>
    </row>
    <row r="313" spans="1:110"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f t="shared" si="48"/>
        <v>0</v>
      </c>
      <c r="CY313">
        <f t="shared" si="49"/>
        <v>0</v>
      </c>
      <c r="CZ313">
        <f t="shared" si="50"/>
        <v>0</v>
      </c>
      <c r="DA313">
        <f t="shared" si="51"/>
        <v>0</v>
      </c>
      <c r="DB313">
        <f t="shared" si="52"/>
        <v>6467.7099999999991</v>
      </c>
      <c r="DC313">
        <f t="shared" si="53"/>
        <v>4027.2900000000004</v>
      </c>
      <c r="DD313">
        <f t="shared" si="54"/>
        <v>0</v>
      </c>
      <c r="DE313">
        <f t="shared" si="55"/>
        <v>0</v>
      </c>
      <c r="DF313">
        <f t="shared" si="47"/>
        <v>10495</v>
      </c>
    </row>
    <row r="314" spans="1:110"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f t="shared" si="48"/>
        <v>0</v>
      </c>
      <c r="CY314">
        <f t="shared" si="49"/>
        <v>0</v>
      </c>
      <c r="CZ314">
        <f t="shared" si="50"/>
        <v>0</v>
      </c>
      <c r="DA314">
        <f t="shared" si="51"/>
        <v>1828.27</v>
      </c>
      <c r="DB314">
        <f t="shared" si="52"/>
        <v>0</v>
      </c>
      <c r="DC314">
        <f t="shared" si="53"/>
        <v>0</v>
      </c>
      <c r="DD314">
        <f t="shared" si="54"/>
        <v>0</v>
      </c>
      <c r="DE314">
        <f t="shared" si="55"/>
        <v>0</v>
      </c>
      <c r="DF314">
        <f t="shared" si="47"/>
        <v>1828.27</v>
      </c>
    </row>
    <row r="315" spans="1:110"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f t="shared" si="48"/>
        <v>0</v>
      </c>
      <c r="CY315">
        <f t="shared" si="49"/>
        <v>0</v>
      </c>
      <c r="CZ315">
        <f t="shared" si="50"/>
        <v>3663.95</v>
      </c>
      <c r="DA315">
        <f t="shared" si="51"/>
        <v>0</v>
      </c>
      <c r="DB315">
        <f t="shared" si="52"/>
        <v>0</v>
      </c>
      <c r="DC315">
        <f t="shared" si="53"/>
        <v>0</v>
      </c>
      <c r="DD315">
        <f t="shared" si="54"/>
        <v>0</v>
      </c>
      <c r="DE315">
        <f t="shared" si="55"/>
        <v>0</v>
      </c>
      <c r="DF315">
        <f t="shared" si="47"/>
        <v>3663.95</v>
      </c>
    </row>
    <row r="316" spans="1:110"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f t="shared" si="48"/>
        <v>0</v>
      </c>
      <c r="CY316">
        <f t="shared" si="49"/>
        <v>0</v>
      </c>
      <c r="CZ316">
        <f t="shared" si="50"/>
        <v>0</v>
      </c>
      <c r="DA316">
        <f t="shared" si="51"/>
        <v>0</v>
      </c>
      <c r="DB316">
        <f t="shared" si="52"/>
        <v>0</v>
      </c>
      <c r="DC316">
        <f t="shared" si="53"/>
        <v>681.2</v>
      </c>
      <c r="DD316">
        <f t="shared" si="54"/>
        <v>2438.38</v>
      </c>
      <c r="DE316">
        <f t="shared" si="55"/>
        <v>1171.02</v>
      </c>
      <c r="DF316">
        <f t="shared" si="47"/>
        <v>4290.6000000000004</v>
      </c>
    </row>
    <row r="317" spans="1:110"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f t="shared" si="48"/>
        <v>0</v>
      </c>
      <c r="CY317">
        <f t="shared" si="49"/>
        <v>0</v>
      </c>
      <c r="CZ317">
        <f t="shared" si="50"/>
        <v>0</v>
      </c>
      <c r="DA317">
        <f t="shared" si="51"/>
        <v>0</v>
      </c>
      <c r="DB317">
        <f t="shared" si="52"/>
        <v>0</v>
      </c>
      <c r="DC317">
        <f t="shared" si="53"/>
        <v>0</v>
      </c>
      <c r="DD317">
        <f t="shared" si="54"/>
        <v>13691.460000000001</v>
      </c>
      <c r="DE317">
        <f t="shared" si="55"/>
        <v>8558.8599999999988</v>
      </c>
      <c r="DF317">
        <f t="shared" si="47"/>
        <v>22250.32</v>
      </c>
    </row>
    <row r="318" spans="1:110"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f t="shared" si="48"/>
        <v>0</v>
      </c>
      <c r="CY318">
        <f t="shared" si="49"/>
        <v>0</v>
      </c>
      <c r="CZ318">
        <f t="shared" si="50"/>
        <v>0</v>
      </c>
      <c r="DA318">
        <f t="shared" si="51"/>
        <v>0</v>
      </c>
      <c r="DB318">
        <f t="shared" si="52"/>
        <v>3208.93</v>
      </c>
      <c r="DC318">
        <f t="shared" si="53"/>
        <v>0</v>
      </c>
      <c r="DD318">
        <f t="shared" si="54"/>
        <v>0</v>
      </c>
      <c r="DE318">
        <f t="shared" si="55"/>
        <v>0</v>
      </c>
      <c r="DF318">
        <f t="shared" si="47"/>
        <v>3208.93</v>
      </c>
    </row>
    <row r="319" spans="1:110"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f t="shared" si="48"/>
        <v>0</v>
      </c>
      <c r="CY319">
        <f t="shared" si="49"/>
        <v>0</v>
      </c>
      <c r="CZ319">
        <f t="shared" si="50"/>
        <v>0</v>
      </c>
      <c r="DA319">
        <f t="shared" si="51"/>
        <v>0</v>
      </c>
      <c r="DB319">
        <f t="shared" si="52"/>
        <v>0</v>
      </c>
      <c r="DC319">
        <f t="shared" si="53"/>
        <v>4976.92</v>
      </c>
      <c r="DD319">
        <f t="shared" si="54"/>
        <v>7533.31</v>
      </c>
      <c r="DE319">
        <f t="shared" si="55"/>
        <v>0</v>
      </c>
      <c r="DF319">
        <f t="shared" si="47"/>
        <v>12510.23</v>
      </c>
    </row>
    <row r="320" spans="1:110"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f t="shared" si="48"/>
        <v>0</v>
      </c>
      <c r="CY320">
        <f t="shared" si="49"/>
        <v>0</v>
      </c>
      <c r="CZ320">
        <f t="shared" si="50"/>
        <v>0</v>
      </c>
      <c r="DA320">
        <f t="shared" si="51"/>
        <v>0</v>
      </c>
      <c r="DB320">
        <f t="shared" si="52"/>
        <v>2224.21</v>
      </c>
      <c r="DC320">
        <f t="shared" si="53"/>
        <v>198.48</v>
      </c>
      <c r="DD320">
        <f t="shared" si="54"/>
        <v>0</v>
      </c>
      <c r="DE320">
        <f t="shared" si="55"/>
        <v>0</v>
      </c>
      <c r="DF320">
        <f t="shared" si="47"/>
        <v>2422.69</v>
      </c>
    </row>
    <row r="321" spans="1:110"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f t="shared" si="48"/>
        <v>0</v>
      </c>
      <c r="CY321">
        <f t="shared" si="49"/>
        <v>0</v>
      </c>
      <c r="CZ321">
        <f t="shared" si="50"/>
        <v>11872.55</v>
      </c>
      <c r="DA321">
        <f t="shared" si="51"/>
        <v>0</v>
      </c>
      <c r="DB321">
        <f t="shared" si="52"/>
        <v>0</v>
      </c>
      <c r="DC321">
        <f t="shared" si="53"/>
        <v>0</v>
      </c>
      <c r="DD321">
        <f t="shared" si="54"/>
        <v>0</v>
      </c>
      <c r="DE321">
        <f t="shared" si="55"/>
        <v>0</v>
      </c>
      <c r="DF321">
        <f t="shared" si="47"/>
        <v>11872.55</v>
      </c>
    </row>
    <row r="322" spans="1:110"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f t="shared" si="48"/>
        <v>0</v>
      </c>
      <c r="CY322">
        <f t="shared" si="49"/>
        <v>0</v>
      </c>
      <c r="CZ322">
        <f t="shared" si="50"/>
        <v>0</v>
      </c>
      <c r="DA322">
        <f t="shared" si="51"/>
        <v>0</v>
      </c>
      <c r="DB322">
        <f t="shared" si="52"/>
        <v>0</v>
      </c>
      <c r="DC322">
        <f t="shared" si="53"/>
        <v>5808.01</v>
      </c>
      <c r="DD322">
        <f t="shared" si="54"/>
        <v>0</v>
      </c>
      <c r="DE322">
        <f t="shared" si="55"/>
        <v>0</v>
      </c>
      <c r="DF322">
        <f t="shared" si="47"/>
        <v>5808.01</v>
      </c>
    </row>
    <row r="323" spans="1:110"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f t="shared" si="48"/>
        <v>0</v>
      </c>
      <c r="CY323">
        <f t="shared" si="49"/>
        <v>0</v>
      </c>
      <c r="CZ323">
        <f t="shared" si="50"/>
        <v>0</v>
      </c>
      <c r="DA323">
        <f t="shared" si="51"/>
        <v>0</v>
      </c>
      <c r="DB323">
        <f t="shared" si="52"/>
        <v>14079.32</v>
      </c>
      <c r="DC323">
        <f t="shared" si="53"/>
        <v>27536.080000000002</v>
      </c>
      <c r="DD323">
        <f t="shared" si="54"/>
        <v>10139.33</v>
      </c>
      <c r="DE323">
        <f t="shared" si="55"/>
        <v>0</v>
      </c>
      <c r="DF323">
        <f t="shared" ref="DF323:DF386" si="56">SUM(F323:CW323)</f>
        <v>51754.729999999996</v>
      </c>
    </row>
    <row r="324" spans="1:110"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f t="shared" ref="CX324:CX387" si="57">SUM(F324:Q324)</f>
        <v>0</v>
      </c>
      <c r="CY324">
        <f t="shared" ref="CY324:CY387" si="58">SUM(R324:AC324)</f>
        <v>0</v>
      </c>
      <c r="CZ324">
        <f t="shared" ref="CZ324:CZ387" si="59">SUM(AD324:AO324)</f>
        <v>0</v>
      </c>
      <c r="DA324">
        <f t="shared" ref="DA324:DA387" si="60">SUM(AP324:BA324)</f>
        <v>0</v>
      </c>
      <c r="DB324">
        <f t="shared" ref="DB324:DB387" si="61">SUM(BB324:BM324)</f>
        <v>0</v>
      </c>
      <c r="DC324">
        <f t="shared" ref="DC324:DC387" si="62">SUM(BN324:BY324)</f>
        <v>0</v>
      </c>
      <c r="DD324">
        <f t="shared" ref="DD324:DD387" si="63">SUM(BZ324:CK324)</f>
        <v>7840.2000000000007</v>
      </c>
      <c r="DE324">
        <f t="shared" ref="DE324:DE387" si="64">SUM(CL324:CW324)</f>
        <v>302.92</v>
      </c>
      <c r="DF324">
        <f t="shared" si="56"/>
        <v>8143.1200000000008</v>
      </c>
    </row>
    <row r="325" spans="1:110"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f t="shared" si="57"/>
        <v>0</v>
      </c>
      <c r="CY325">
        <f t="shared" si="58"/>
        <v>0</v>
      </c>
      <c r="CZ325">
        <f t="shared" si="59"/>
        <v>0</v>
      </c>
      <c r="DA325">
        <f t="shared" si="60"/>
        <v>0</v>
      </c>
      <c r="DB325">
        <f t="shared" si="61"/>
        <v>0</v>
      </c>
      <c r="DC325">
        <f t="shared" si="62"/>
        <v>0</v>
      </c>
      <c r="DD325">
        <f t="shared" si="63"/>
        <v>8314.7999999999993</v>
      </c>
      <c r="DE325">
        <f t="shared" si="64"/>
        <v>0</v>
      </c>
      <c r="DF325">
        <f t="shared" si="56"/>
        <v>8314.7999999999993</v>
      </c>
    </row>
    <row r="326" spans="1:110"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f t="shared" si="57"/>
        <v>4564.37</v>
      </c>
      <c r="CY326">
        <f t="shared" si="58"/>
        <v>0</v>
      </c>
      <c r="CZ326">
        <f t="shared" si="59"/>
        <v>0</v>
      </c>
      <c r="DA326">
        <f t="shared" si="60"/>
        <v>0</v>
      </c>
      <c r="DB326">
        <f t="shared" si="61"/>
        <v>0</v>
      </c>
      <c r="DC326">
        <f t="shared" si="62"/>
        <v>0</v>
      </c>
      <c r="DD326">
        <f t="shared" si="63"/>
        <v>0</v>
      </c>
      <c r="DE326">
        <f t="shared" si="64"/>
        <v>0</v>
      </c>
      <c r="DF326">
        <f t="shared" si="56"/>
        <v>4564.37</v>
      </c>
    </row>
    <row r="327" spans="1:110"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f t="shared" si="57"/>
        <v>0</v>
      </c>
      <c r="CY327">
        <f t="shared" si="58"/>
        <v>0</v>
      </c>
      <c r="CZ327">
        <f t="shared" si="59"/>
        <v>0</v>
      </c>
      <c r="DA327">
        <f t="shared" si="60"/>
        <v>0</v>
      </c>
      <c r="DB327">
        <f t="shared" si="61"/>
        <v>0</v>
      </c>
      <c r="DC327">
        <f t="shared" si="62"/>
        <v>0</v>
      </c>
      <c r="DD327">
        <f t="shared" si="63"/>
        <v>4501.68</v>
      </c>
      <c r="DE327">
        <f t="shared" si="64"/>
        <v>0</v>
      </c>
      <c r="DF327">
        <f t="shared" si="56"/>
        <v>4501.68</v>
      </c>
    </row>
    <row r="328" spans="1:110"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f t="shared" si="57"/>
        <v>5809.61</v>
      </c>
      <c r="CY328">
        <f t="shared" si="58"/>
        <v>1028.51</v>
      </c>
      <c r="CZ328">
        <f t="shared" si="59"/>
        <v>0</v>
      </c>
      <c r="DA328">
        <f t="shared" si="60"/>
        <v>0</v>
      </c>
      <c r="DB328">
        <f t="shared" si="61"/>
        <v>0</v>
      </c>
      <c r="DC328">
        <f t="shared" si="62"/>
        <v>0</v>
      </c>
      <c r="DD328">
        <f t="shared" si="63"/>
        <v>0</v>
      </c>
      <c r="DE328">
        <f t="shared" si="64"/>
        <v>0</v>
      </c>
      <c r="DF328">
        <f t="shared" si="56"/>
        <v>6838.12</v>
      </c>
    </row>
    <row r="329" spans="1:110"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f t="shared" si="57"/>
        <v>0</v>
      </c>
      <c r="CY329">
        <f t="shared" si="58"/>
        <v>0</v>
      </c>
      <c r="CZ329">
        <f t="shared" si="59"/>
        <v>0</v>
      </c>
      <c r="DA329">
        <f t="shared" si="60"/>
        <v>0</v>
      </c>
      <c r="DB329">
        <f t="shared" si="61"/>
        <v>0</v>
      </c>
      <c r="DC329">
        <f t="shared" si="62"/>
        <v>0</v>
      </c>
      <c r="DD329">
        <f t="shared" si="63"/>
        <v>12793.669999999998</v>
      </c>
      <c r="DE329">
        <f t="shared" si="64"/>
        <v>0</v>
      </c>
      <c r="DF329">
        <f t="shared" si="56"/>
        <v>12793.669999999998</v>
      </c>
    </row>
    <row r="330" spans="1:110"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f t="shared" si="57"/>
        <v>0</v>
      </c>
      <c r="CY330">
        <f t="shared" si="58"/>
        <v>0</v>
      </c>
      <c r="CZ330">
        <f t="shared" si="59"/>
        <v>0</v>
      </c>
      <c r="DA330">
        <f t="shared" si="60"/>
        <v>0</v>
      </c>
      <c r="DB330">
        <f t="shared" si="61"/>
        <v>0</v>
      </c>
      <c r="DC330">
        <f t="shared" si="62"/>
        <v>0</v>
      </c>
      <c r="DD330">
        <f t="shared" si="63"/>
        <v>2822.44</v>
      </c>
      <c r="DE330">
        <f t="shared" si="64"/>
        <v>0</v>
      </c>
      <c r="DF330">
        <f t="shared" si="56"/>
        <v>2822.44</v>
      </c>
    </row>
    <row r="331" spans="1:110"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f t="shared" si="57"/>
        <v>0</v>
      </c>
      <c r="CY331">
        <f t="shared" si="58"/>
        <v>0</v>
      </c>
      <c r="CZ331">
        <f t="shared" si="59"/>
        <v>0</v>
      </c>
      <c r="DA331">
        <f t="shared" si="60"/>
        <v>0</v>
      </c>
      <c r="DB331">
        <f t="shared" si="61"/>
        <v>0</v>
      </c>
      <c r="DC331">
        <f t="shared" si="62"/>
        <v>1707.74</v>
      </c>
      <c r="DD331">
        <f t="shared" si="63"/>
        <v>9608.2699999999986</v>
      </c>
      <c r="DE331">
        <f t="shared" si="64"/>
        <v>0</v>
      </c>
      <c r="DF331">
        <f t="shared" si="56"/>
        <v>11316.009999999998</v>
      </c>
    </row>
    <row r="332" spans="1:110"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f t="shared" si="57"/>
        <v>0</v>
      </c>
      <c r="CY332">
        <f t="shared" si="58"/>
        <v>5664.64</v>
      </c>
      <c r="CZ332">
        <f t="shared" si="59"/>
        <v>0</v>
      </c>
      <c r="DA332">
        <f t="shared" si="60"/>
        <v>0</v>
      </c>
      <c r="DB332">
        <f t="shared" si="61"/>
        <v>0</v>
      </c>
      <c r="DC332">
        <f t="shared" si="62"/>
        <v>0</v>
      </c>
      <c r="DD332">
        <f t="shared" si="63"/>
        <v>0</v>
      </c>
      <c r="DE332">
        <f t="shared" si="64"/>
        <v>0</v>
      </c>
      <c r="DF332">
        <f t="shared" si="56"/>
        <v>5664.64</v>
      </c>
    </row>
    <row r="333" spans="1:110"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f t="shared" si="57"/>
        <v>0</v>
      </c>
      <c r="CY333">
        <f t="shared" si="58"/>
        <v>0</v>
      </c>
      <c r="CZ333">
        <f t="shared" si="59"/>
        <v>0</v>
      </c>
      <c r="DA333">
        <f t="shared" si="60"/>
        <v>0</v>
      </c>
      <c r="DB333">
        <f t="shared" si="61"/>
        <v>0</v>
      </c>
      <c r="DC333">
        <f t="shared" si="62"/>
        <v>5362.11</v>
      </c>
      <c r="DD333">
        <f t="shared" si="63"/>
        <v>13618.900000000001</v>
      </c>
      <c r="DE333">
        <f t="shared" si="64"/>
        <v>1169.31</v>
      </c>
      <c r="DF333">
        <f t="shared" si="56"/>
        <v>20150.32</v>
      </c>
    </row>
    <row r="334" spans="1:110"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f t="shared" si="57"/>
        <v>0</v>
      </c>
      <c r="CY334">
        <f t="shared" si="58"/>
        <v>0</v>
      </c>
      <c r="CZ334">
        <f t="shared" si="59"/>
        <v>0</v>
      </c>
      <c r="DA334">
        <f t="shared" si="60"/>
        <v>0</v>
      </c>
      <c r="DB334">
        <f t="shared" si="61"/>
        <v>0</v>
      </c>
      <c r="DC334">
        <f t="shared" si="62"/>
        <v>0</v>
      </c>
      <c r="DD334">
        <f t="shared" si="63"/>
        <v>6515.02</v>
      </c>
      <c r="DE334">
        <f t="shared" si="64"/>
        <v>0</v>
      </c>
      <c r="DF334">
        <f t="shared" si="56"/>
        <v>6515.02</v>
      </c>
    </row>
    <row r="335" spans="1:110"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f t="shared" si="57"/>
        <v>0</v>
      </c>
      <c r="CY335">
        <f t="shared" si="58"/>
        <v>0</v>
      </c>
      <c r="CZ335">
        <f t="shared" si="59"/>
        <v>0</v>
      </c>
      <c r="DA335">
        <f t="shared" si="60"/>
        <v>0</v>
      </c>
      <c r="DB335">
        <f t="shared" si="61"/>
        <v>2935.46</v>
      </c>
      <c r="DC335">
        <f t="shared" si="62"/>
        <v>312.79000000000002</v>
      </c>
      <c r="DD335">
        <f t="shared" si="63"/>
        <v>0</v>
      </c>
      <c r="DE335">
        <f t="shared" si="64"/>
        <v>0</v>
      </c>
      <c r="DF335">
        <f t="shared" si="56"/>
        <v>3248.25</v>
      </c>
    </row>
    <row r="336" spans="1:110"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f t="shared" si="57"/>
        <v>0</v>
      </c>
      <c r="CY336">
        <f t="shared" si="58"/>
        <v>0</v>
      </c>
      <c r="CZ336">
        <f t="shared" si="59"/>
        <v>0</v>
      </c>
      <c r="DA336">
        <f t="shared" si="60"/>
        <v>9489.6499999999978</v>
      </c>
      <c r="DB336">
        <f t="shared" si="61"/>
        <v>5198.68</v>
      </c>
      <c r="DC336">
        <f t="shared" si="62"/>
        <v>1266.9000000000001</v>
      </c>
      <c r="DD336">
        <f t="shared" si="63"/>
        <v>0</v>
      </c>
      <c r="DE336">
        <f t="shared" si="64"/>
        <v>0</v>
      </c>
      <c r="DF336">
        <f t="shared" si="56"/>
        <v>15955.229999999998</v>
      </c>
    </row>
    <row r="337" spans="1:110"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f t="shared" si="57"/>
        <v>0</v>
      </c>
      <c r="CY337">
        <f t="shared" si="58"/>
        <v>0</v>
      </c>
      <c r="CZ337">
        <f t="shared" si="59"/>
        <v>0</v>
      </c>
      <c r="DA337">
        <f t="shared" si="60"/>
        <v>2863.31</v>
      </c>
      <c r="DB337">
        <f t="shared" si="61"/>
        <v>0</v>
      </c>
      <c r="DC337">
        <f t="shared" si="62"/>
        <v>0</v>
      </c>
      <c r="DD337">
        <f t="shared" si="63"/>
        <v>0</v>
      </c>
      <c r="DE337">
        <f t="shared" si="64"/>
        <v>0</v>
      </c>
      <c r="DF337">
        <f t="shared" si="56"/>
        <v>2863.31</v>
      </c>
    </row>
    <row r="338" spans="1:110"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f t="shared" si="57"/>
        <v>0</v>
      </c>
      <c r="CY338">
        <f t="shared" si="58"/>
        <v>0</v>
      </c>
      <c r="CZ338">
        <f t="shared" si="59"/>
        <v>0</v>
      </c>
      <c r="DA338">
        <f t="shared" si="60"/>
        <v>0</v>
      </c>
      <c r="DB338">
        <f t="shared" si="61"/>
        <v>1981.44</v>
      </c>
      <c r="DC338">
        <f t="shared" si="62"/>
        <v>0</v>
      </c>
      <c r="DD338">
        <f t="shared" si="63"/>
        <v>0</v>
      </c>
      <c r="DE338">
        <f t="shared" si="64"/>
        <v>0</v>
      </c>
      <c r="DF338">
        <f t="shared" si="56"/>
        <v>1981.44</v>
      </c>
    </row>
    <row r="339" spans="1:110"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f t="shared" si="57"/>
        <v>3636.91</v>
      </c>
      <c r="CY339">
        <f t="shared" si="58"/>
        <v>3818.49</v>
      </c>
      <c r="CZ339">
        <f t="shared" si="59"/>
        <v>0</v>
      </c>
      <c r="DA339">
        <f t="shared" si="60"/>
        <v>0</v>
      </c>
      <c r="DB339">
        <f t="shared" si="61"/>
        <v>0</v>
      </c>
      <c r="DC339">
        <f t="shared" si="62"/>
        <v>0</v>
      </c>
      <c r="DD339">
        <f t="shared" si="63"/>
        <v>0</v>
      </c>
      <c r="DE339">
        <f t="shared" si="64"/>
        <v>0</v>
      </c>
      <c r="DF339">
        <f t="shared" si="56"/>
        <v>7455.4000000000005</v>
      </c>
    </row>
    <row r="340" spans="1:110"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f t="shared" si="57"/>
        <v>0</v>
      </c>
      <c r="CY340">
        <f t="shared" si="58"/>
        <v>0</v>
      </c>
      <c r="CZ340">
        <f t="shared" si="59"/>
        <v>0</v>
      </c>
      <c r="DA340">
        <f t="shared" si="60"/>
        <v>0</v>
      </c>
      <c r="DB340">
        <f t="shared" si="61"/>
        <v>0</v>
      </c>
      <c r="DC340">
        <f t="shared" si="62"/>
        <v>0</v>
      </c>
      <c r="DD340">
        <f t="shared" si="63"/>
        <v>4564.1899999999996</v>
      </c>
      <c r="DE340">
        <f t="shared" si="64"/>
        <v>714.82</v>
      </c>
      <c r="DF340">
        <f t="shared" si="56"/>
        <v>5279.0099999999993</v>
      </c>
    </row>
    <row r="341" spans="1:110"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f t="shared" si="57"/>
        <v>0</v>
      </c>
      <c r="CY341">
        <f t="shared" si="58"/>
        <v>0</v>
      </c>
      <c r="CZ341">
        <f t="shared" si="59"/>
        <v>0</v>
      </c>
      <c r="DA341">
        <f t="shared" si="60"/>
        <v>0</v>
      </c>
      <c r="DB341">
        <f t="shared" si="61"/>
        <v>0</v>
      </c>
      <c r="DC341">
        <f t="shared" si="62"/>
        <v>9101.23</v>
      </c>
      <c r="DD341">
        <f t="shared" si="63"/>
        <v>0</v>
      </c>
      <c r="DE341">
        <f t="shared" si="64"/>
        <v>0</v>
      </c>
      <c r="DF341">
        <f t="shared" si="56"/>
        <v>9101.23</v>
      </c>
    </row>
    <row r="342" spans="1:110"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f t="shared" si="57"/>
        <v>0</v>
      </c>
      <c r="CY342">
        <f t="shared" si="58"/>
        <v>0</v>
      </c>
      <c r="CZ342">
        <f t="shared" si="59"/>
        <v>8076.74</v>
      </c>
      <c r="DA342">
        <f t="shared" si="60"/>
        <v>1541.09</v>
      </c>
      <c r="DB342">
        <f t="shared" si="61"/>
        <v>0</v>
      </c>
      <c r="DC342">
        <f t="shared" si="62"/>
        <v>0</v>
      </c>
      <c r="DD342">
        <f t="shared" si="63"/>
        <v>0</v>
      </c>
      <c r="DE342">
        <f t="shared" si="64"/>
        <v>0</v>
      </c>
      <c r="DF342">
        <f t="shared" si="56"/>
        <v>9617.83</v>
      </c>
    </row>
    <row r="343" spans="1:110"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f t="shared" si="57"/>
        <v>0</v>
      </c>
      <c r="CY343">
        <f t="shared" si="58"/>
        <v>0</v>
      </c>
      <c r="CZ343">
        <f t="shared" si="59"/>
        <v>0</v>
      </c>
      <c r="DA343">
        <f t="shared" si="60"/>
        <v>0</v>
      </c>
      <c r="DB343">
        <f t="shared" si="61"/>
        <v>0</v>
      </c>
      <c r="DC343">
        <f t="shared" si="62"/>
        <v>0</v>
      </c>
      <c r="DD343">
        <f t="shared" si="63"/>
        <v>0</v>
      </c>
      <c r="DE343">
        <f t="shared" si="64"/>
        <v>2217.9</v>
      </c>
      <c r="DF343">
        <f t="shared" si="56"/>
        <v>2217.9</v>
      </c>
    </row>
    <row r="344" spans="1:110"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f t="shared" si="57"/>
        <v>0</v>
      </c>
      <c r="CY344">
        <f t="shared" si="58"/>
        <v>0</v>
      </c>
      <c r="CZ344">
        <f t="shared" si="59"/>
        <v>0</v>
      </c>
      <c r="DA344">
        <f t="shared" si="60"/>
        <v>3062.79</v>
      </c>
      <c r="DB344">
        <f t="shared" si="61"/>
        <v>0</v>
      </c>
      <c r="DC344">
        <f t="shared" si="62"/>
        <v>0</v>
      </c>
      <c r="DD344">
        <f t="shared" si="63"/>
        <v>0</v>
      </c>
      <c r="DE344">
        <f t="shared" si="64"/>
        <v>0</v>
      </c>
      <c r="DF344">
        <f t="shared" si="56"/>
        <v>3062.79</v>
      </c>
    </row>
    <row r="345" spans="1:110"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f t="shared" si="57"/>
        <v>0</v>
      </c>
      <c r="CY345">
        <f t="shared" si="58"/>
        <v>0</v>
      </c>
      <c r="CZ345">
        <f t="shared" si="59"/>
        <v>1242.6400000000001</v>
      </c>
      <c r="DA345">
        <f t="shared" si="60"/>
        <v>0</v>
      </c>
      <c r="DB345">
        <f t="shared" si="61"/>
        <v>0</v>
      </c>
      <c r="DC345">
        <f t="shared" si="62"/>
        <v>0</v>
      </c>
      <c r="DD345">
        <f t="shared" si="63"/>
        <v>0</v>
      </c>
      <c r="DE345">
        <f t="shared" si="64"/>
        <v>0</v>
      </c>
      <c r="DF345">
        <f t="shared" si="56"/>
        <v>1242.6400000000001</v>
      </c>
    </row>
    <row r="346" spans="1:110"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f t="shared" si="57"/>
        <v>0</v>
      </c>
      <c r="CY346">
        <f t="shared" si="58"/>
        <v>0</v>
      </c>
      <c r="CZ346">
        <f t="shared" si="59"/>
        <v>1685.87</v>
      </c>
      <c r="DA346">
        <f t="shared" si="60"/>
        <v>2978.5</v>
      </c>
      <c r="DB346">
        <f t="shared" si="61"/>
        <v>0</v>
      </c>
      <c r="DC346">
        <f t="shared" si="62"/>
        <v>0</v>
      </c>
      <c r="DD346">
        <f t="shared" si="63"/>
        <v>0</v>
      </c>
      <c r="DE346">
        <f t="shared" si="64"/>
        <v>0</v>
      </c>
      <c r="DF346">
        <f t="shared" si="56"/>
        <v>4664.37</v>
      </c>
    </row>
    <row r="347" spans="1:110"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f t="shared" si="57"/>
        <v>0</v>
      </c>
      <c r="CY347">
        <f t="shared" si="58"/>
        <v>0</v>
      </c>
      <c r="CZ347">
        <f t="shared" si="59"/>
        <v>0</v>
      </c>
      <c r="DA347">
        <f t="shared" si="60"/>
        <v>5329.48</v>
      </c>
      <c r="DB347">
        <f t="shared" si="61"/>
        <v>0</v>
      </c>
      <c r="DC347">
        <f t="shared" si="62"/>
        <v>0</v>
      </c>
      <c r="DD347">
        <f t="shared" si="63"/>
        <v>0</v>
      </c>
      <c r="DE347">
        <f t="shared" si="64"/>
        <v>0</v>
      </c>
      <c r="DF347">
        <f t="shared" si="56"/>
        <v>5329.48</v>
      </c>
    </row>
    <row r="348" spans="1:110"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f t="shared" si="57"/>
        <v>0</v>
      </c>
      <c r="CY348">
        <f t="shared" si="58"/>
        <v>0</v>
      </c>
      <c r="CZ348">
        <f t="shared" si="59"/>
        <v>0</v>
      </c>
      <c r="DA348">
        <f t="shared" si="60"/>
        <v>0</v>
      </c>
      <c r="DB348">
        <f t="shared" si="61"/>
        <v>0</v>
      </c>
      <c r="DC348">
        <f t="shared" si="62"/>
        <v>0</v>
      </c>
      <c r="DD348">
        <f t="shared" si="63"/>
        <v>1948.25</v>
      </c>
      <c r="DE348">
        <f t="shared" si="64"/>
        <v>10502.06</v>
      </c>
      <c r="DF348">
        <f t="shared" si="56"/>
        <v>12450.310000000001</v>
      </c>
    </row>
    <row r="349" spans="1:110"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f t="shared" si="57"/>
        <v>0</v>
      </c>
      <c r="CY349">
        <f t="shared" si="58"/>
        <v>1756.55</v>
      </c>
      <c r="CZ349">
        <f t="shared" si="59"/>
        <v>0</v>
      </c>
      <c r="DA349">
        <f t="shared" si="60"/>
        <v>0</v>
      </c>
      <c r="DB349">
        <f t="shared" si="61"/>
        <v>0</v>
      </c>
      <c r="DC349">
        <f t="shared" si="62"/>
        <v>0</v>
      </c>
      <c r="DD349">
        <f t="shared" si="63"/>
        <v>0</v>
      </c>
      <c r="DE349">
        <f t="shared" si="64"/>
        <v>0</v>
      </c>
      <c r="DF349">
        <f t="shared" si="56"/>
        <v>1756.55</v>
      </c>
    </row>
    <row r="350" spans="1:110"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f t="shared" si="57"/>
        <v>0</v>
      </c>
      <c r="CY350">
        <f t="shared" si="58"/>
        <v>0</v>
      </c>
      <c r="CZ350">
        <f t="shared" si="59"/>
        <v>0</v>
      </c>
      <c r="DA350">
        <f t="shared" si="60"/>
        <v>0</v>
      </c>
      <c r="DB350">
        <f t="shared" si="61"/>
        <v>0</v>
      </c>
      <c r="DC350">
        <f t="shared" si="62"/>
        <v>9684.01</v>
      </c>
      <c r="DD350">
        <f t="shared" si="63"/>
        <v>1671</v>
      </c>
      <c r="DE350">
        <f t="shared" si="64"/>
        <v>0</v>
      </c>
      <c r="DF350">
        <f t="shared" si="56"/>
        <v>11355.01</v>
      </c>
    </row>
    <row r="351" spans="1:110"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f t="shared" si="57"/>
        <v>0</v>
      </c>
      <c r="CY351">
        <f t="shared" si="58"/>
        <v>0</v>
      </c>
      <c r="CZ351">
        <f t="shared" si="59"/>
        <v>0</v>
      </c>
      <c r="DA351">
        <f t="shared" si="60"/>
        <v>0</v>
      </c>
      <c r="DB351">
        <f t="shared" si="61"/>
        <v>2253.64</v>
      </c>
      <c r="DC351">
        <f t="shared" si="62"/>
        <v>712.5</v>
      </c>
      <c r="DD351">
        <f t="shared" si="63"/>
        <v>0</v>
      </c>
      <c r="DE351">
        <f t="shared" si="64"/>
        <v>0</v>
      </c>
      <c r="DF351">
        <f t="shared" si="56"/>
        <v>2966.14</v>
      </c>
    </row>
    <row r="352" spans="1:110"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f t="shared" si="57"/>
        <v>0</v>
      </c>
      <c r="CY352">
        <f t="shared" si="58"/>
        <v>5480.23</v>
      </c>
      <c r="CZ352">
        <f t="shared" si="59"/>
        <v>0</v>
      </c>
      <c r="DA352">
        <f t="shared" si="60"/>
        <v>0</v>
      </c>
      <c r="DB352">
        <f t="shared" si="61"/>
        <v>0</v>
      </c>
      <c r="DC352">
        <f t="shared" si="62"/>
        <v>0</v>
      </c>
      <c r="DD352">
        <f t="shared" si="63"/>
        <v>0</v>
      </c>
      <c r="DE352">
        <f t="shared" si="64"/>
        <v>0</v>
      </c>
      <c r="DF352">
        <f t="shared" si="56"/>
        <v>5480.23</v>
      </c>
    </row>
    <row r="353" spans="1:110"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f t="shared" si="57"/>
        <v>1360.12</v>
      </c>
      <c r="CY353">
        <f t="shared" si="58"/>
        <v>4474.28</v>
      </c>
      <c r="CZ353">
        <f t="shared" si="59"/>
        <v>0</v>
      </c>
      <c r="DA353">
        <f t="shared" si="60"/>
        <v>0</v>
      </c>
      <c r="DB353">
        <f t="shared" si="61"/>
        <v>0</v>
      </c>
      <c r="DC353">
        <f t="shared" si="62"/>
        <v>0</v>
      </c>
      <c r="DD353">
        <f t="shared" si="63"/>
        <v>0</v>
      </c>
      <c r="DE353">
        <f t="shared" si="64"/>
        <v>0</v>
      </c>
      <c r="DF353">
        <f t="shared" si="56"/>
        <v>5834.4</v>
      </c>
    </row>
    <row r="354" spans="1:110"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f t="shared" si="57"/>
        <v>0</v>
      </c>
      <c r="CY354">
        <f t="shared" si="58"/>
        <v>0</v>
      </c>
      <c r="CZ354">
        <f t="shared" si="59"/>
        <v>0</v>
      </c>
      <c r="DA354">
        <f t="shared" si="60"/>
        <v>0</v>
      </c>
      <c r="DB354">
        <f t="shared" si="61"/>
        <v>0</v>
      </c>
      <c r="DC354">
        <f t="shared" si="62"/>
        <v>0</v>
      </c>
      <c r="DD354">
        <f t="shared" si="63"/>
        <v>23128.3</v>
      </c>
      <c r="DE354">
        <f t="shared" si="64"/>
        <v>0</v>
      </c>
      <c r="DF354">
        <f t="shared" si="56"/>
        <v>23128.3</v>
      </c>
    </row>
    <row r="355" spans="1:110"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f t="shared" si="57"/>
        <v>0</v>
      </c>
      <c r="CY355">
        <f t="shared" si="58"/>
        <v>0</v>
      </c>
      <c r="CZ355">
        <f t="shared" si="59"/>
        <v>0</v>
      </c>
      <c r="DA355">
        <f t="shared" si="60"/>
        <v>0</v>
      </c>
      <c r="DB355">
        <f t="shared" si="61"/>
        <v>2314.92</v>
      </c>
      <c r="DC355">
        <f t="shared" si="62"/>
        <v>203.24</v>
      </c>
      <c r="DD355">
        <f t="shared" si="63"/>
        <v>0</v>
      </c>
      <c r="DE355">
        <f t="shared" si="64"/>
        <v>0</v>
      </c>
      <c r="DF355">
        <f t="shared" si="56"/>
        <v>2518.16</v>
      </c>
    </row>
    <row r="356" spans="1:110"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f t="shared" si="57"/>
        <v>0</v>
      </c>
      <c r="CY356">
        <f t="shared" si="58"/>
        <v>8123.5399999999991</v>
      </c>
      <c r="CZ356">
        <f t="shared" si="59"/>
        <v>3686.07</v>
      </c>
      <c r="DA356">
        <f t="shared" si="60"/>
        <v>2296.98</v>
      </c>
      <c r="DB356">
        <f t="shared" si="61"/>
        <v>0</v>
      </c>
      <c r="DC356">
        <f t="shared" si="62"/>
        <v>0</v>
      </c>
      <c r="DD356">
        <f t="shared" si="63"/>
        <v>0</v>
      </c>
      <c r="DE356">
        <f t="shared" si="64"/>
        <v>0</v>
      </c>
      <c r="DF356">
        <f t="shared" si="56"/>
        <v>14106.589999999998</v>
      </c>
    </row>
    <row r="357" spans="1:110"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f t="shared" si="57"/>
        <v>0</v>
      </c>
      <c r="CY357">
        <f t="shared" si="58"/>
        <v>0</v>
      </c>
      <c r="CZ357">
        <f t="shared" si="59"/>
        <v>2384.69</v>
      </c>
      <c r="DA357">
        <f t="shared" si="60"/>
        <v>0</v>
      </c>
      <c r="DB357">
        <f t="shared" si="61"/>
        <v>0</v>
      </c>
      <c r="DC357">
        <f t="shared" si="62"/>
        <v>0</v>
      </c>
      <c r="DD357">
        <f t="shared" si="63"/>
        <v>0</v>
      </c>
      <c r="DE357">
        <f t="shared" si="64"/>
        <v>0</v>
      </c>
      <c r="DF357">
        <f t="shared" si="56"/>
        <v>2384.69</v>
      </c>
    </row>
    <row r="358" spans="1:110"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f t="shared" si="57"/>
        <v>0</v>
      </c>
      <c r="CY358">
        <f t="shared" si="58"/>
        <v>0</v>
      </c>
      <c r="CZ358">
        <f t="shared" si="59"/>
        <v>4488.1499999999996</v>
      </c>
      <c r="DA358">
        <f t="shared" si="60"/>
        <v>0</v>
      </c>
      <c r="DB358">
        <f t="shared" si="61"/>
        <v>0</v>
      </c>
      <c r="DC358">
        <f t="shared" si="62"/>
        <v>0</v>
      </c>
      <c r="DD358">
        <f t="shared" si="63"/>
        <v>0</v>
      </c>
      <c r="DE358">
        <f t="shared" si="64"/>
        <v>0</v>
      </c>
      <c r="DF358">
        <f t="shared" si="56"/>
        <v>4488.1499999999996</v>
      </c>
    </row>
    <row r="359" spans="1:110"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f t="shared" si="57"/>
        <v>0</v>
      </c>
      <c r="CY359">
        <f t="shared" si="58"/>
        <v>0</v>
      </c>
      <c r="CZ359">
        <f t="shared" si="59"/>
        <v>0</v>
      </c>
      <c r="DA359">
        <f t="shared" si="60"/>
        <v>0</v>
      </c>
      <c r="DB359">
        <f t="shared" si="61"/>
        <v>0</v>
      </c>
      <c r="DC359">
        <f t="shared" si="62"/>
        <v>0</v>
      </c>
      <c r="DD359">
        <f t="shared" si="63"/>
        <v>5738.8</v>
      </c>
      <c r="DE359">
        <f t="shared" si="64"/>
        <v>0</v>
      </c>
      <c r="DF359">
        <f t="shared" si="56"/>
        <v>5738.8</v>
      </c>
    </row>
    <row r="360" spans="1:110"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f t="shared" si="57"/>
        <v>0</v>
      </c>
      <c r="CY360">
        <f t="shared" si="58"/>
        <v>0</v>
      </c>
      <c r="CZ360">
        <f t="shared" si="59"/>
        <v>0</v>
      </c>
      <c r="DA360">
        <f t="shared" si="60"/>
        <v>0</v>
      </c>
      <c r="DB360">
        <f t="shared" si="61"/>
        <v>0</v>
      </c>
      <c r="DC360">
        <f t="shared" si="62"/>
        <v>0</v>
      </c>
      <c r="DD360">
        <f t="shared" si="63"/>
        <v>2132.85</v>
      </c>
      <c r="DE360">
        <f t="shared" si="64"/>
        <v>1997.98</v>
      </c>
      <c r="DF360">
        <f t="shared" si="56"/>
        <v>4130.83</v>
      </c>
    </row>
    <row r="361" spans="1:110"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f t="shared" si="57"/>
        <v>0</v>
      </c>
      <c r="CY361">
        <f t="shared" si="58"/>
        <v>0</v>
      </c>
      <c r="CZ361">
        <f t="shared" si="59"/>
        <v>0</v>
      </c>
      <c r="DA361">
        <f t="shared" si="60"/>
        <v>0</v>
      </c>
      <c r="DB361">
        <f t="shared" si="61"/>
        <v>0</v>
      </c>
      <c r="DC361">
        <f t="shared" si="62"/>
        <v>0</v>
      </c>
      <c r="DD361">
        <f t="shared" si="63"/>
        <v>5889.67</v>
      </c>
      <c r="DE361">
        <f t="shared" si="64"/>
        <v>1829.36</v>
      </c>
      <c r="DF361">
        <f t="shared" si="56"/>
        <v>7719.03</v>
      </c>
    </row>
    <row r="362" spans="1:110"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f t="shared" si="57"/>
        <v>0</v>
      </c>
      <c r="CY362">
        <f t="shared" si="58"/>
        <v>0</v>
      </c>
      <c r="CZ362">
        <f t="shared" si="59"/>
        <v>0</v>
      </c>
      <c r="DA362">
        <f t="shared" si="60"/>
        <v>0</v>
      </c>
      <c r="DB362">
        <f t="shared" si="61"/>
        <v>0</v>
      </c>
      <c r="DC362">
        <f t="shared" si="62"/>
        <v>0</v>
      </c>
      <c r="DD362">
        <f t="shared" si="63"/>
        <v>3511.9</v>
      </c>
      <c r="DE362">
        <f t="shared" si="64"/>
        <v>0</v>
      </c>
      <c r="DF362">
        <f t="shared" si="56"/>
        <v>3511.9</v>
      </c>
    </row>
    <row r="363" spans="1:110"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f t="shared" si="57"/>
        <v>0</v>
      </c>
      <c r="CY363">
        <f t="shared" si="58"/>
        <v>0</v>
      </c>
      <c r="CZ363">
        <f t="shared" si="59"/>
        <v>0</v>
      </c>
      <c r="DA363">
        <f t="shared" si="60"/>
        <v>0</v>
      </c>
      <c r="DB363">
        <f t="shared" si="61"/>
        <v>0</v>
      </c>
      <c r="DC363">
        <f t="shared" si="62"/>
        <v>0</v>
      </c>
      <c r="DD363">
        <f t="shared" si="63"/>
        <v>7413.73</v>
      </c>
      <c r="DE363">
        <f t="shared" si="64"/>
        <v>0</v>
      </c>
      <c r="DF363">
        <f t="shared" si="56"/>
        <v>7413.73</v>
      </c>
    </row>
    <row r="364" spans="1:110"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f t="shared" si="57"/>
        <v>0</v>
      </c>
      <c r="CY364">
        <f t="shared" si="58"/>
        <v>4372.55</v>
      </c>
      <c r="CZ364">
        <f t="shared" si="59"/>
        <v>0</v>
      </c>
      <c r="DA364">
        <f t="shared" si="60"/>
        <v>0</v>
      </c>
      <c r="DB364">
        <f t="shared" si="61"/>
        <v>0</v>
      </c>
      <c r="DC364">
        <f t="shared" si="62"/>
        <v>0</v>
      </c>
      <c r="DD364">
        <f t="shared" si="63"/>
        <v>0</v>
      </c>
      <c r="DE364">
        <f t="shared" si="64"/>
        <v>0</v>
      </c>
      <c r="DF364">
        <f t="shared" si="56"/>
        <v>4372.55</v>
      </c>
    </row>
    <row r="365" spans="1:110"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f t="shared" si="57"/>
        <v>0</v>
      </c>
      <c r="CY365">
        <f t="shared" si="58"/>
        <v>0</v>
      </c>
      <c r="CZ365">
        <f t="shared" si="59"/>
        <v>0</v>
      </c>
      <c r="DA365">
        <f t="shared" si="60"/>
        <v>0</v>
      </c>
      <c r="DB365">
        <f t="shared" si="61"/>
        <v>0</v>
      </c>
      <c r="DC365">
        <f t="shared" si="62"/>
        <v>0</v>
      </c>
      <c r="DD365">
        <f t="shared" si="63"/>
        <v>0</v>
      </c>
      <c r="DE365">
        <f t="shared" si="64"/>
        <v>9907.84</v>
      </c>
      <c r="DF365">
        <f t="shared" si="56"/>
        <v>9907.84</v>
      </c>
    </row>
    <row r="366" spans="1:110"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f t="shared" si="57"/>
        <v>0</v>
      </c>
      <c r="CY366">
        <f t="shared" si="58"/>
        <v>0</v>
      </c>
      <c r="CZ366">
        <f t="shared" si="59"/>
        <v>0</v>
      </c>
      <c r="DA366">
        <f t="shared" si="60"/>
        <v>0</v>
      </c>
      <c r="DB366">
        <f t="shared" si="61"/>
        <v>0</v>
      </c>
      <c r="DC366">
        <f t="shared" si="62"/>
        <v>5062.72</v>
      </c>
      <c r="DD366">
        <f t="shared" si="63"/>
        <v>0</v>
      </c>
      <c r="DE366">
        <f t="shared" si="64"/>
        <v>0</v>
      </c>
      <c r="DF366">
        <f t="shared" si="56"/>
        <v>5062.72</v>
      </c>
    </row>
    <row r="367" spans="1:110"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f t="shared" si="57"/>
        <v>0</v>
      </c>
      <c r="CY367">
        <f t="shared" si="58"/>
        <v>0</v>
      </c>
      <c r="CZ367">
        <f t="shared" si="59"/>
        <v>0</v>
      </c>
      <c r="DA367">
        <f t="shared" si="60"/>
        <v>0</v>
      </c>
      <c r="DB367">
        <f t="shared" si="61"/>
        <v>3567.44</v>
      </c>
      <c r="DC367">
        <f t="shared" si="62"/>
        <v>0</v>
      </c>
      <c r="DD367">
        <f t="shared" si="63"/>
        <v>0</v>
      </c>
      <c r="DE367">
        <f t="shared" si="64"/>
        <v>0</v>
      </c>
      <c r="DF367">
        <f t="shared" si="56"/>
        <v>3567.44</v>
      </c>
    </row>
    <row r="368" spans="1:110"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f t="shared" si="57"/>
        <v>2881.81</v>
      </c>
      <c r="CY368">
        <f t="shared" si="58"/>
        <v>1083.8499999999999</v>
      </c>
      <c r="CZ368">
        <f t="shared" si="59"/>
        <v>0</v>
      </c>
      <c r="DA368">
        <f t="shared" si="60"/>
        <v>0</v>
      </c>
      <c r="DB368">
        <f t="shared" si="61"/>
        <v>0</v>
      </c>
      <c r="DC368">
        <f t="shared" si="62"/>
        <v>0</v>
      </c>
      <c r="DD368">
        <f t="shared" si="63"/>
        <v>0</v>
      </c>
      <c r="DE368">
        <f t="shared" si="64"/>
        <v>0</v>
      </c>
      <c r="DF368">
        <f t="shared" si="56"/>
        <v>3965.66</v>
      </c>
    </row>
    <row r="369" spans="1:110"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f t="shared" si="57"/>
        <v>0</v>
      </c>
      <c r="CY369">
        <f t="shared" si="58"/>
        <v>0</v>
      </c>
      <c r="CZ369">
        <f t="shared" si="59"/>
        <v>0</v>
      </c>
      <c r="DA369">
        <f t="shared" si="60"/>
        <v>0</v>
      </c>
      <c r="DB369">
        <f t="shared" si="61"/>
        <v>0</v>
      </c>
      <c r="DC369">
        <f t="shared" si="62"/>
        <v>4379.57</v>
      </c>
      <c r="DD369">
        <f t="shared" si="63"/>
        <v>3005.4700000000003</v>
      </c>
      <c r="DE369">
        <f t="shared" si="64"/>
        <v>0</v>
      </c>
      <c r="DF369">
        <f t="shared" si="56"/>
        <v>7385.04</v>
      </c>
    </row>
    <row r="370" spans="1:110"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f t="shared" si="57"/>
        <v>0</v>
      </c>
      <c r="CY370">
        <f t="shared" si="58"/>
        <v>0</v>
      </c>
      <c r="CZ370">
        <f t="shared" si="59"/>
        <v>0</v>
      </c>
      <c r="DA370">
        <f t="shared" si="60"/>
        <v>0</v>
      </c>
      <c r="DB370">
        <f t="shared" si="61"/>
        <v>0</v>
      </c>
      <c r="DC370">
        <f t="shared" si="62"/>
        <v>0</v>
      </c>
      <c r="DD370">
        <f t="shared" si="63"/>
        <v>43755.46</v>
      </c>
      <c r="DE370">
        <f t="shared" si="64"/>
        <v>0</v>
      </c>
      <c r="DF370">
        <f t="shared" si="56"/>
        <v>43755.46</v>
      </c>
    </row>
    <row r="371" spans="1:110"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f t="shared" si="57"/>
        <v>0</v>
      </c>
      <c r="CY371">
        <f t="shared" si="58"/>
        <v>0</v>
      </c>
      <c r="CZ371">
        <f t="shared" si="59"/>
        <v>0</v>
      </c>
      <c r="DA371">
        <f t="shared" si="60"/>
        <v>0</v>
      </c>
      <c r="DB371">
        <f t="shared" si="61"/>
        <v>4222.05</v>
      </c>
      <c r="DC371">
        <f t="shared" si="62"/>
        <v>7803.3700000000008</v>
      </c>
      <c r="DD371">
        <f t="shared" si="63"/>
        <v>682.61</v>
      </c>
      <c r="DE371">
        <f t="shared" si="64"/>
        <v>0</v>
      </c>
      <c r="DF371">
        <f t="shared" si="56"/>
        <v>12708.03</v>
      </c>
    </row>
    <row r="372" spans="1:110"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f t="shared" si="57"/>
        <v>0</v>
      </c>
      <c r="CY372">
        <f t="shared" si="58"/>
        <v>0</v>
      </c>
      <c r="CZ372">
        <f t="shared" si="59"/>
        <v>2487.69</v>
      </c>
      <c r="DA372">
        <f t="shared" si="60"/>
        <v>995.34</v>
      </c>
      <c r="DB372">
        <f t="shared" si="61"/>
        <v>0</v>
      </c>
      <c r="DC372">
        <f t="shared" si="62"/>
        <v>0</v>
      </c>
      <c r="DD372">
        <f t="shared" si="63"/>
        <v>0</v>
      </c>
      <c r="DE372">
        <f t="shared" si="64"/>
        <v>0</v>
      </c>
      <c r="DF372">
        <f t="shared" si="56"/>
        <v>3483.03</v>
      </c>
    </row>
    <row r="373" spans="1:110"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f t="shared" si="57"/>
        <v>0</v>
      </c>
      <c r="CY373">
        <f t="shared" si="58"/>
        <v>0</v>
      </c>
      <c r="CZ373">
        <f t="shared" si="59"/>
        <v>0</v>
      </c>
      <c r="DA373">
        <f t="shared" si="60"/>
        <v>0</v>
      </c>
      <c r="DB373">
        <f t="shared" si="61"/>
        <v>56037.119999999995</v>
      </c>
      <c r="DC373">
        <f t="shared" si="62"/>
        <v>0</v>
      </c>
      <c r="DD373">
        <f t="shared" si="63"/>
        <v>0</v>
      </c>
      <c r="DE373">
        <f t="shared" si="64"/>
        <v>0</v>
      </c>
      <c r="DF373">
        <f t="shared" si="56"/>
        <v>56037.119999999995</v>
      </c>
    </row>
    <row r="374" spans="1:110"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f t="shared" si="57"/>
        <v>0</v>
      </c>
      <c r="CY374">
        <f t="shared" si="58"/>
        <v>0</v>
      </c>
      <c r="CZ374">
        <f t="shared" si="59"/>
        <v>0</v>
      </c>
      <c r="DA374">
        <f t="shared" si="60"/>
        <v>0</v>
      </c>
      <c r="DB374">
        <f t="shared" si="61"/>
        <v>0</v>
      </c>
      <c r="DC374">
        <f t="shared" si="62"/>
        <v>0</v>
      </c>
      <c r="DD374">
        <f t="shared" si="63"/>
        <v>1442.89</v>
      </c>
      <c r="DE374">
        <f t="shared" si="64"/>
        <v>1404.1599999999999</v>
      </c>
      <c r="DF374">
        <f t="shared" si="56"/>
        <v>2847.05</v>
      </c>
    </row>
    <row r="375" spans="1:110"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f t="shared" si="57"/>
        <v>0</v>
      </c>
      <c r="CY375">
        <f t="shared" si="58"/>
        <v>0</v>
      </c>
      <c r="CZ375">
        <f t="shared" si="59"/>
        <v>0</v>
      </c>
      <c r="DA375">
        <f t="shared" si="60"/>
        <v>0</v>
      </c>
      <c r="DB375">
        <f t="shared" si="61"/>
        <v>0</v>
      </c>
      <c r="DC375">
        <f t="shared" si="62"/>
        <v>0</v>
      </c>
      <c r="DD375">
        <f t="shared" si="63"/>
        <v>5638.3399999999992</v>
      </c>
      <c r="DE375">
        <f t="shared" si="64"/>
        <v>12661.830000000002</v>
      </c>
      <c r="DF375">
        <f t="shared" si="56"/>
        <v>18300.169999999998</v>
      </c>
    </row>
    <row r="376" spans="1:110"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f t="shared" si="57"/>
        <v>0</v>
      </c>
      <c r="CY376">
        <f t="shared" si="58"/>
        <v>0</v>
      </c>
      <c r="CZ376">
        <f t="shared" si="59"/>
        <v>0</v>
      </c>
      <c r="DA376">
        <f t="shared" si="60"/>
        <v>5595.85</v>
      </c>
      <c r="DB376">
        <f t="shared" si="61"/>
        <v>2831.4300000000003</v>
      </c>
      <c r="DC376">
        <f t="shared" si="62"/>
        <v>0</v>
      </c>
      <c r="DD376">
        <f t="shared" si="63"/>
        <v>0</v>
      </c>
      <c r="DE376">
        <f t="shared" si="64"/>
        <v>0</v>
      </c>
      <c r="DF376">
        <f t="shared" si="56"/>
        <v>8427.2800000000007</v>
      </c>
    </row>
    <row r="377" spans="1:110"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f t="shared" si="57"/>
        <v>0</v>
      </c>
      <c r="CY377">
        <f t="shared" si="58"/>
        <v>0</v>
      </c>
      <c r="CZ377">
        <f t="shared" si="59"/>
        <v>0</v>
      </c>
      <c r="DA377">
        <f t="shared" si="60"/>
        <v>0</v>
      </c>
      <c r="DB377">
        <f t="shared" si="61"/>
        <v>0</v>
      </c>
      <c r="DC377">
        <f t="shared" si="62"/>
        <v>0</v>
      </c>
      <c r="DD377">
        <f t="shared" si="63"/>
        <v>0</v>
      </c>
      <c r="DE377">
        <f t="shared" si="64"/>
        <v>4193.7400000000007</v>
      </c>
      <c r="DF377">
        <f t="shared" si="56"/>
        <v>4193.7400000000007</v>
      </c>
    </row>
    <row r="378" spans="1:110"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f t="shared" si="57"/>
        <v>2680.25</v>
      </c>
      <c r="CY378">
        <f t="shared" si="58"/>
        <v>0</v>
      </c>
      <c r="CZ378">
        <f t="shared" si="59"/>
        <v>0</v>
      </c>
      <c r="DA378">
        <f t="shared" si="60"/>
        <v>0</v>
      </c>
      <c r="DB378">
        <f t="shared" si="61"/>
        <v>0</v>
      </c>
      <c r="DC378">
        <f t="shared" si="62"/>
        <v>0</v>
      </c>
      <c r="DD378">
        <f t="shared" si="63"/>
        <v>0</v>
      </c>
      <c r="DE378">
        <f t="shared" si="64"/>
        <v>0</v>
      </c>
      <c r="DF378">
        <f t="shared" si="56"/>
        <v>2680.25</v>
      </c>
    </row>
    <row r="379" spans="1:110"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f t="shared" si="57"/>
        <v>0</v>
      </c>
      <c r="CY379">
        <f t="shared" si="58"/>
        <v>0</v>
      </c>
      <c r="CZ379">
        <f t="shared" si="59"/>
        <v>0</v>
      </c>
      <c r="DA379">
        <f t="shared" si="60"/>
        <v>0</v>
      </c>
      <c r="DB379">
        <f t="shared" si="61"/>
        <v>0</v>
      </c>
      <c r="DC379">
        <f t="shared" si="62"/>
        <v>0</v>
      </c>
      <c r="DD379">
        <f t="shared" si="63"/>
        <v>3492.74</v>
      </c>
      <c r="DE379">
        <f t="shared" si="64"/>
        <v>0</v>
      </c>
      <c r="DF379">
        <f t="shared" si="56"/>
        <v>3492.74</v>
      </c>
    </row>
    <row r="380" spans="1:110"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f t="shared" si="57"/>
        <v>0</v>
      </c>
      <c r="CY380">
        <f t="shared" si="58"/>
        <v>0</v>
      </c>
      <c r="CZ380">
        <f t="shared" si="59"/>
        <v>0</v>
      </c>
      <c r="DA380">
        <f t="shared" si="60"/>
        <v>10638.439999999999</v>
      </c>
      <c r="DB380">
        <f t="shared" si="61"/>
        <v>10600.11</v>
      </c>
      <c r="DC380">
        <f t="shared" si="62"/>
        <v>0</v>
      </c>
      <c r="DD380">
        <f t="shared" si="63"/>
        <v>0</v>
      </c>
      <c r="DE380">
        <f t="shared" si="64"/>
        <v>0</v>
      </c>
      <c r="DF380">
        <f t="shared" si="56"/>
        <v>21238.55</v>
      </c>
    </row>
    <row r="381" spans="1:110"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f t="shared" si="57"/>
        <v>0</v>
      </c>
      <c r="CY381">
        <f t="shared" si="58"/>
        <v>0</v>
      </c>
      <c r="CZ381">
        <f t="shared" si="59"/>
        <v>0</v>
      </c>
      <c r="DA381">
        <f t="shared" si="60"/>
        <v>0</v>
      </c>
      <c r="DB381">
        <f t="shared" si="61"/>
        <v>0</v>
      </c>
      <c r="DC381">
        <f t="shared" si="62"/>
        <v>0</v>
      </c>
      <c r="DD381">
        <f t="shared" si="63"/>
        <v>3312.96</v>
      </c>
      <c r="DE381">
        <f t="shared" si="64"/>
        <v>617.35</v>
      </c>
      <c r="DF381">
        <f t="shared" si="56"/>
        <v>3930.31</v>
      </c>
    </row>
    <row r="382" spans="1:110"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f t="shared" si="57"/>
        <v>0</v>
      </c>
      <c r="CY382">
        <f t="shared" si="58"/>
        <v>3766.14</v>
      </c>
      <c r="CZ382">
        <f t="shared" si="59"/>
        <v>491.6</v>
      </c>
      <c r="DA382">
        <f t="shared" si="60"/>
        <v>0</v>
      </c>
      <c r="DB382">
        <f t="shared" si="61"/>
        <v>0</v>
      </c>
      <c r="DC382">
        <f t="shared" si="62"/>
        <v>0</v>
      </c>
      <c r="DD382">
        <f t="shared" si="63"/>
        <v>0</v>
      </c>
      <c r="DE382">
        <f t="shared" si="64"/>
        <v>0</v>
      </c>
      <c r="DF382">
        <f t="shared" si="56"/>
        <v>4257.74</v>
      </c>
    </row>
    <row r="383" spans="1:110"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f t="shared" si="57"/>
        <v>0</v>
      </c>
      <c r="CY383">
        <f t="shared" si="58"/>
        <v>0</v>
      </c>
      <c r="CZ383">
        <f t="shared" si="59"/>
        <v>577.19000000000005</v>
      </c>
      <c r="DA383">
        <f t="shared" si="60"/>
        <v>1818.1800000000003</v>
      </c>
      <c r="DB383">
        <f t="shared" si="61"/>
        <v>1722.1799999999998</v>
      </c>
      <c r="DC383">
        <f t="shared" si="62"/>
        <v>0</v>
      </c>
      <c r="DD383">
        <f t="shared" si="63"/>
        <v>0</v>
      </c>
      <c r="DE383">
        <f t="shared" si="64"/>
        <v>0</v>
      </c>
      <c r="DF383">
        <f t="shared" si="56"/>
        <v>4117.55</v>
      </c>
    </row>
    <row r="384" spans="1:110"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f t="shared" si="57"/>
        <v>0</v>
      </c>
      <c r="CY384">
        <f t="shared" si="58"/>
        <v>0</v>
      </c>
      <c r="CZ384">
        <f t="shared" si="59"/>
        <v>9777.16</v>
      </c>
      <c r="DA384">
        <f t="shared" si="60"/>
        <v>1155.19</v>
      </c>
      <c r="DB384">
        <f t="shared" si="61"/>
        <v>0</v>
      </c>
      <c r="DC384">
        <f t="shared" si="62"/>
        <v>0</v>
      </c>
      <c r="DD384">
        <f t="shared" si="63"/>
        <v>0</v>
      </c>
      <c r="DE384">
        <f t="shared" si="64"/>
        <v>0</v>
      </c>
      <c r="DF384">
        <f t="shared" si="56"/>
        <v>10932.35</v>
      </c>
    </row>
    <row r="385" spans="1:110"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f t="shared" si="57"/>
        <v>0</v>
      </c>
      <c r="CY385">
        <f t="shared" si="58"/>
        <v>0</v>
      </c>
      <c r="CZ385">
        <f t="shared" si="59"/>
        <v>0</v>
      </c>
      <c r="DA385">
        <f t="shared" si="60"/>
        <v>3882.38</v>
      </c>
      <c r="DB385">
        <f t="shared" si="61"/>
        <v>1877.65</v>
      </c>
      <c r="DC385">
        <f t="shared" si="62"/>
        <v>0</v>
      </c>
      <c r="DD385">
        <f t="shared" si="63"/>
        <v>0</v>
      </c>
      <c r="DE385">
        <f t="shared" si="64"/>
        <v>0</v>
      </c>
      <c r="DF385">
        <f t="shared" si="56"/>
        <v>5760.03</v>
      </c>
    </row>
    <row r="386" spans="1:110"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f t="shared" si="57"/>
        <v>0</v>
      </c>
      <c r="CY386">
        <f t="shared" si="58"/>
        <v>0</v>
      </c>
      <c r="CZ386">
        <f t="shared" si="59"/>
        <v>0</v>
      </c>
      <c r="DA386">
        <f t="shared" si="60"/>
        <v>0</v>
      </c>
      <c r="DB386">
        <f t="shared" si="61"/>
        <v>5318.7400000000007</v>
      </c>
      <c r="DC386">
        <f t="shared" si="62"/>
        <v>27294.630000000005</v>
      </c>
      <c r="DD386">
        <f t="shared" si="63"/>
        <v>1670.01</v>
      </c>
      <c r="DE386">
        <f t="shared" si="64"/>
        <v>0</v>
      </c>
      <c r="DF386">
        <f t="shared" si="56"/>
        <v>34283.380000000005</v>
      </c>
    </row>
    <row r="387" spans="1:110"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f t="shared" si="57"/>
        <v>0</v>
      </c>
      <c r="CY387">
        <f t="shared" si="58"/>
        <v>0</v>
      </c>
      <c r="CZ387">
        <f t="shared" si="59"/>
        <v>0</v>
      </c>
      <c r="DA387">
        <f t="shared" si="60"/>
        <v>0</v>
      </c>
      <c r="DB387">
        <f t="shared" si="61"/>
        <v>6590.01</v>
      </c>
      <c r="DC387">
        <f t="shared" si="62"/>
        <v>0</v>
      </c>
      <c r="DD387">
        <f t="shared" si="63"/>
        <v>0</v>
      </c>
      <c r="DE387">
        <f t="shared" si="64"/>
        <v>0</v>
      </c>
      <c r="DF387">
        <f t="shared" ref="DF387:DF450" si="65">SUM(F387:CW387)</f>
        <v>6590.01</v>
      </c>
    </row>
    <row r="388" spans="1:110"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f t="shared" ref="CX388:CX451" si="66">SUM(F388:Q388)</f>
        <v>0</v>
      </c>
      <c r="CY388">
        <f t="shared" ref="CY388:CY451" si="67">SUM(R388:AC388)</f>
        <v>0</v>
      </c>
      <c r="CZ388">
        <f t="shared" ref="CZ388:CZ451" si="68">SUM(AD388:AO388)</f>
        <v>0</v>
      </c>
      <c r="DA388">
        <f t="shared" ref="DA388:DA451" si="69">SUM(AP388:BA388)</f>
        <v>0</v>
      </c>
      <c r="DB388">
        <f t="shared" ref="DB388:DB451" si="70">SUM(BB388:BM388)</f>
        <v>0</v>
      </c>
      <c r="DC388">
        <f t="shared" ref="DC388:DC451" si="71">SUM(BN388:BY388)</f>
        <v>0</v>
      </c>
      <c r="DD388">
        <f t="shared" ref="DD388:DD451" si="72">SUM(BZ388:CK388)</f>
        <v>14651.500000000002</v>
      </c>
      <c r="DE388">
        <f t="shared" ref="DE388:DE451" si="73">SUM(CL388:CW388)</f>
        <v>0</v>
      </c>
      <c r="DF388">
        <f t="shared" si="65"/>
        <v>14651.500000000002</v>
      </c>
    </row>
    <row r="389" spans="1:110"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f t="shared" si="66"/>
        <v>0</v>
      </c>
      <c r="CY389">
        <f t="shared" si="67"/>
        <v>0</v>
      </c>
      <c r="CZ389">
        <f t="shared" si="68"/>
        <v>0</v>
      </c>
      <c r="DA389">
        <f t="shared" si="69"/>
        <v>0</v>
      </c>
      <c r="DB389">
        <f t="shared" si="70"/>
        <v>0</v>
      </c>
      <c r="DC389">
        <f t="shared" si="71"/>
        <v>0</v>
      </c>
      <c r="DD389">
        <f t="shared" si="72"/>
        <v>2744.59</v>
      </c>
      <c r="DE389">
        <f t="shared" si="73"/>
        <v>0</v>
      </c>
      <c r="DF389">
        <f t="shared" si="65"/>
        <v>2744.59</v>
      </c>
    </row>
    <row r="390" spans="1:110"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f t="shared" si="66"/>
        <v>368.54</v>
      </c>
      <c r="CY390">
        <f t="shared" si="67"/>
        <v>1506</v>
      </c>
      <c r="CZ390">
        <f t="shared" si="68"/>
        <v>0</v>
      </c>
      <c r="DA390">
        <f t="shared" si="69"/>
        <v>0</v>
      </c>
      <c r="DB390">
        <f t="shared" si="70"/>
        <v>0</v>
      </c>
      <c r="DC390">
        <f t="shared" si="71"/>
        <v>0</v>
      </c>
      <c r="DD390">
        <f t="shared" si="72"/>
        <v>0</v>
      </c>
      <c r="DE390">
        <f t="shared" si="73"/>
        <v>0</v>
      </c>
      <c r="DF390">
        <f t="shared" si="65"/>
        <v>1874.54</v>
      </c>
    </row>
    <row r="391" spans="1:110"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f t="shared" si="66"/>
        <v>0</v>
      </c>
      <c r="CY391">
        <f t="shared" si="67"/>
        <v>0</v>
      </c>
      <c r="CZ391">
        <f t="shared" si="68"/>
        <v>3283.88</v>
      </c>
      <c r="DA391">
        <f t="shared" si="69"/>
        <v>0</v>
      </c>
      <c r="DB391">
        <f t="shared" si="70"/>
        <v>0</v>
      </c>
      <c r="DC391">
        <f t="shared" si="71"/>
        <v>0</v>
      </c>
      <c r="DD391">
        <f t="shared" si="72"/>
        <v>0</v>
      </c>
      <c r="DE391">
        <f t="shared" si="73"/>
        <v>0</v>
      </c>
      <c r="DF391">
        <f t="shared" si="65"/>
        <v>3283.88</v>
      </c>
    </row>
    <row r="392" spans="1:110"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f t="shared" si="66"/>
        <v>0</v>
      </c>
      <c r="CY392">
        <f t="shared" si="67"/>
        <v>0</v>
      </c>
      <c r="CZ392">
        <f t="shared" si="68"/>
        <v>0</v>
      </c>
      <c r="DA392">
        <f t="shared" si="69"/>
        <v>0</v>
      </c>
      <c r="DB392">
        <f t="shared" si="70"/>
        <v>0</v>
      </c>
      <c r="DC392">
        <f t="shared" si="71"/>
        <v>0</v>
      </c>
      <c r="DD392">
        <f t="shared" si="72"/>
        <v>0</v>
      </c>
      <c r="DE392">
        <f t="shared" si="73"/>
        <v>4274.13</v>
      </c>
      <c r="DF392">
        <f t="shared" si="65"/>
        <v>4274.13</v>
      </c>
    </row>
    <row r="393" spans="1:110"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f t="shared" si="66"/>
        <v>0</v>
      </c>
      <c r="CY393">
        <f t="shared" si="67"/>
        <v>0</v>
      </c>
      <c r="CZ393">
        <f t="shared" si="68"/>
        <v>0</v>
      </c>
      <c r="DA393">
        <f t="shared" si="69"/>
        <v>0</v>
      </c>
      <c r="DB393">
        <f t="shared" si="70"/>
        <v>3478.0200000000004</v>
      </c>
      <c r="DC393">
        <f t="shared" si="71"/>
        <v>4139.25</v>
      </c>
      <c r="DD393">
        <f t="shared" si="72"/>
        <v>0</v>
      </c>
      <c r="DE393">
        <f t="shared" si="73"/>
        <v>0</v>
      </c>
      <c r="DF393">
        <f t="shared" si="65"/>
        <v>7617.27</v>
      </c>
    </row>
    <row r="394" spans="1:110"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f t="shared" si="66"/>
        <v>0</v>
      </c>
      <c r="CY394">
        <f t="shared" si="67"/>
        <v>0</v>
      </c>
      <c r="CZ394">
        <f t="shared" si="68"/>
        <v>0</v>
      </c>
      <c r="DA394">
        <f t="shared" si="69"/>
        <v>0</v>
      </c>
      <c r="DB394">
        <f t="shared" si="70"/>
        <v>0</v>
      </c>
      <c r="DC394">
        <f t="shared" si="71"/>
        <v>0</v>
      </c>
      <c r="DD394">
        <f t="shared" si="72"/>
        <v>0</v>
      </c>
      <c r="DE394">
        <f t="shared" si="73"/>
        <v>1425.9</v>
      </c>
      <c r="DF394">
        <f t="shared" si="65"/>
        <v>1425.9</v>
      </c>
    </row>
    <row r="395" spans="1:110"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f t="shared" si="66"/>
        <v>0</v>
      </c>
      <c r="CY395">
        <f t="shared" si="67"/>
        <v>0</v>
      </c>
      <c r="CZ395">
        <f t="shared" si="68"/>
        <v>7131.79</v>
      </c>
      <c r="DA395">
        <f t="shared" si="69"/>
        <v>0</v>
      </c>
      <c r="DB395">
        <f t="shared" si="70"/>
        <v>0</v>
      </c>
      <c r="DC395">
        <f t="shared" si="71"/>
        <v>0</v>
      </c>
      <c r="DD395">
        <f t="shared" si="72"/>
        <v>0</v>
      </c>
      <c r="DE395">
        <f t="shared" si="73"/>
        <v>0</v>
      </c>
      <c r="DF395">
        <f t="shared" si="65"/>
        <v>7131.79</v>
      </c>
    </row>
    <row r="396" spans="1:110"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f t="shared" si="66"/>
        <v>0</v>
      </c>
      <c r="CY396">
        <f t="shared" si="67"/>
        <v>0</v>
      </c>
      <c r="CZ396">
        <f t="shared" si="68"/>
        <v>0</v>
      </c>
      <c r="DA396">
        <f t="shared" si="69"/>
        <v>2156.85</v>
      </c>
      <c r="DB396">
        <f t="shared" si="70"/>
        <v>0</v>
      </c>
      <c r="DC396">
        <f t="shared" si="71"/>
        <v>0</v>
      </c>
      <c r="DD396">
        <f t="shared" si="72"/>
        <v>0</v>
      </c>
      <c r="DE396">
        <f t="shared" si="73"/>
        <v>0</v>
      </c>
      <c r="DF396">
        <f t="shared" si="65"/>
        <v>2156.85</v>
      </c>
    </row>
    <row r="397" spans="1:110"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f t="shared" si="66"/>
        <v>0</v>
      </c>
      <c r="CY397">
        <f t="shared" si="67"/>
        <v>0</v>
      </c>
      <c r="CZ397">
        <f t="shared" si="68"/>
        <v>11660.57</v>
      </c>
      <c r="DA397">
        <f t="shared" si="69"/>
        <v>6303.6399999999994</v>
      </c>
      <c r="DB397">
        <f t="shared" si="70"/>
        <v>0</v>
      </c>
      <c r="DC397">
        <f t="shared" si="71"/>
        <v>0</v>
      </c>
      <c r="DD397">
        <f t="shared" si="72"/>
        <v>0</v>
      </c>
      <c r="DE397">
        <f t="shared" si="73"/>
        <v>0</v>
      </c>
      <c r="DF397">
        <f t="shared" si="65"/>
        <v>17964.21</v>
      </c>
    </row>
    <row r="398" spans="1:110"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f t="shared" si="66"/>
        <v>0</v>
      </c>
      <c r="CY398">
        <f t="shared" si="67"/>
        <v>0</v>
      </c>
      <c r="CZ398">
        <f t="shared" si="68"/>
        <v>0</v>
      </c>
      <c r="DA398">
        <f t="shared" si="69"/>
        <v>0</v>
      </c>
      <c r="DB398">
        <f t="shared" si="70"/>
        <v>0</v>
      </c>
      <c r="DC398">
        <f t="shared" si="71"/>
        <v>0</v>
      </c>
      <c r="DD398">
        <f t="shared" si="72"/>
        <v>0</v>
      </c>
      <c r="DE398">
        <f t="shared" si="73"/>
        <v>423.89</v>
      </c>
      <c r="DF398">
        <f t="shared" si="65"/>
        <v>423.89</v>
      </c>
    </row>
    <row r="399" spans="1:110"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f t="shared" si="66"/>
        <v>0</v>
      </c>
      <c r="CY399">
        <f t="shared" si="67"/>
        <v>0</v>
      </c>
      <c r="CZ399">
        <f t="shared" si="68"/>
        <v>0</v>
      </c>
      <c r="DA399">
        <f t="shared" si="69"/>
        <v>0</v>
      </c>
      <c r="DB399">
        <f t="shared" si="70"/>
        <v>0</v>
      </c>
      <c r="DC399">
        <f t="shared" si="71"/>
        <v>0</v>
      </c>
      <c r="DD399">
        <f t="shared" si="72"/>
        <v>2702.95</v>
      </c>
      <c r="DE399">
        <f t="shared" si="73"/>
        <v>840.05</v>
      </c>
      <c r="DF399">
        <f t="shared" si="65"/>
        <v>3543</v>
      </c>
    </row>
    <row r="400" spans="1:110"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f t="shared" si="66"/>
        <v>0</v>
      </c>
      <c r="CY400">
        <f t="shared" si="67"/>
        <v>0</v>
      </c>
      <c r="CZ400">
        <f t="shared" si="68"/>
        <v>6045.18</v>
      </c>
      <c r="DA400">
        <f t="shared" si="69"/>
        <v>0</v>
      </c>
      <c r="DB400">
        <f t="shared" si="70"/>
        <v>0</v>
      </c>
      <c r="DC400">
        <f t="shared" si="71"/>
        <v>0</v>
      </c>
      <c r="DD400">
        <f t="shared" si="72"/>
        <v>0</v>
      </c>
      <c r="DE400">
        <f t="shared" si="73"/>
        <v>0</v>
      </c>
      <c r="DF400">
        <f t="shared" si="65"/>
        <v>6045.18</v>
      </c>
    </row>
    <row r="401" spans="1:110"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f t="shared" si="66"/>
        <v>0</v>
      </c>
      <c r="CY401">
        <f t="shared" si="67"/>
        <v>0</v>
      </c>
      <c r="CZ401">
        <f t="shared" si="68"/>
        <v>1733.04</v>
      </c>
      <c r="DA401">
        <f t="shared" si="69"/>
        <v>7201.2499999999991</v>
      </c>
      <c r="DB401">
        <f t="shared" si="70"/>
        <v>1218.43</v>
      </c>
      <c r="DC401">
        <f t="shared" si="71"/>
        <v>0</v>
      </c>
      <c r="DD401">
        <f t="shared" si="72"/>
        <v>0</v>
      </c>
      <c r="DE401">
        <f t="shared" si="73"/>
        <v>0</v>
      </c>
      <c r="DF401">
        <f t="shared" si="65"/>
        <v>10152.720000000001</v>
      </c>
    </row>
    <row r="402" spans="1:110"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f t="shared" si="66"/>
        <v>0</v>
      </c>
      <c r="CY402">
        <f t="shared" si="67"/>
        <v>0</v>
      </c>
      <c r="CZ402">
        <f t="shared" si="68"/>
        <v>0</v>
      </c>
      <c r="DA402">
        <f t="shared" si="69"/>
        <v>0</v>
      </c>
      <c r="DB402">
        <f t="shared" si="70"/>
        <v>0</v>
      </c>
      <c r="DC402">
        <f t="shared" si="71"/>
        <v>9921.15</v>
      </c>
      <c r="DD402">
        <f t="shared" si="72"/>
        <v>0</v>
      </c>
      <c r="DE402">
        <f t="shared" si="73"/>
        <v>0</v>
      </c>
      <c r="DF402">
        <f t="shared" si="65"/>
        <v>9921.15</v>
      </c>
    </row>
    <row r="403" spans="1:110"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f t="shared" si="66"/>
        <v>0</v>
      </c>
      <c r="CY403">
        <f t="shared" si="67"/>
        <v>0</v>
      </c>
      <c r="CZ403">
        <f t="shared" si="68"/>
        <v>0</v>
      </c>
      <c r="DA403">
        <f t="shared" si="69"/>
        <v>0</v>
      </c>
      <c r="DB403">
        <f t="shared" si="70"/>
        <v>0</v>
      </c>
      <c r="DC403">
        <f t="shared" si="71"/>
        <v>8030.5999999999995</v>
      </c>
      <c r="DD403">
        <f t="shared" si="72"/>
        <v>0</v>
      </c>
      <c r="DE403">
        <f t="shared" si="73"/>
        <v>0</v>
      </c>
      <c r="DF403">
        <f t="shared" si="65"/>
        <v>8030.5999999999995</v>
      </c>
    </row>
    <row r="404" spans="1:110"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f t="shared" si="66"/>
        <v>0</v>
      </c>
      <c r="CY404">
        <f t="shared" si="67"/>
        <v>0</v>
      </c>
      <c r="CZ404">
        <f t="shared" si="68"/>
        <v>0</v>
      </c>
      <c r="DA404">
        <f t="shared" si="69"/>
        <v>0</v>
      </c>
      <c r="DB404">
        <f t="shared" si="70"/>
        <v>2841.88</v>
      </c>
      <c r="DC404">
        <f t="shared" si="71"/>
        <v>9775.65</v>
      </c>
      <c r="DD404">
        <f t="shared" si="72"/>
        <v>3096.61</v>
      </c>
      <c r="DE404">
        <f t="shared" si="73"/>
        <v>0</v>
      </c>
      <c r="DF404">
        <f t="shared" si="65"/>
        <v>15714.14</v>
      </c>
    </row>
    <row r="405" spans="1:110"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f t="shared" si="66"/>
        <v>0</v>
      </c>
      <c r="CY405">
        <f t="shared" si="67"/>
        <v>0</v>
      </c>
      <c r="CZ405">
        <f t="shared" si="68"/>
        <v>0</v>
      </c>
      <c r="DA405">
        <f t="shared" si="69"/>
        <v>0</v>
      </c>
      <c r="DB405">
        <f t="shared" si="70"/>
        <v>200.93</v>
      </c>
      <c r="DC405">
        <f t="shared" si="71"/>
        <v>990.57</v>
      </c>
      <c r="DD405">
        <f t="shared" si="72"/>
        <v>676.97</v>
      </c>
      <c r="DE405">
        <f t="shared" si="73"/>
        <v>0</v>
      </c>
      <c r="DF405">
        <f t="shared" si="65"/>
        <v>1868.47</v>
      </c>
    </row>
    <row r="406" spans="1:110"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f t="shared" si="66"/>
        <v>6391.8</v>
      </c>
      <c r="CY406">
        <f t="shared" si="67"/>
        <v>7312.1299999999992</v>
      </c>
      <c r="CZ406">
        <f t="shared" si="68"/>
        <v>4014.91</v>
      </c>
      <c r="DA406">
        <f t="shared" si="69"/>
        <v>0</v>
      </c>
      <c r="DB406">
        <f t="shared" si="70"/>
        <v>0</v>
      </c>
      <c r="DC406">
        <f t="shared" si="71"/>
        <v>0</v>
      </c>
      <c r="DD406">
        <f t="shared" si="72"/>
        <v>0</v>
      </c>
      <c r="DE406">
        <f t="shared" si="73"/>
        <v>0</v>
      </c>
      <c r="DF406">
        <f t="shared" si="65"/>
        <v>17718.84</v>
      </c>
    </row>
    <row r="407" spans="1:110"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f t="shared" si="66"/>
        <v>0</v>
      </c>
      <c r="CY407">
        <f t="shared" si="67"/>
        <v>0</v>
      </c>
      <c r="CZ407">
        <f t="shared" si="68"/>
        <v>0</v>
      </c>
      <c r="DA407">
        <f t="shared" si="69"/>
        <v>0</v>
      </c>
      <c r="DB407">
        <f t="shared" si="70"/>
        <v>0</v>
      </c>
      <c r="DC407">
        <f t="shared" si="71"/>
        <v>0</v>
      </c>
      <c r="DD407">
        <f t="shared" si="72"/>
        <v>8724.2800000000007</v>
      </c>
      <c r="DE407">
        <f t="shared" si="73"/>
        <v>0</v>
      </c>
      <c r="DF407">
        <f t="shared" si="65"/>
        <v>8724.2800000000007</v>
      </c>
    </row>
    <row r="408" spans="1:110"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f t="shared" si="66"/>
        <v>0</v>
      </c>
      <c r="CY408">
        <f t="shared" si="67"/>
        <v>0</v>
      </c>
      <c r="CZ408">
        <f t="shared" si="68"/>
        <v>0</v>
      </c>
      <c r="DA408">
        <f t="shared" si="69"/>
        <v>0</v>
      </c>
      <c r="DB408">
        <f t="shared" si="70"/>
        <v>0</v>
      </c>
      <c r="DC408">
        <f t="shared" si="71"/>
        <v>5988.93</v>
      </c>
      <c r="DD408">
        <f t="shared" si="72"/>
        <v>0</v>
      </c>
      <c r="DE408">
        <f t="shared" si="73"/>
        <v>0</v>
      </c>
      <c r="DF408">
        <f t="shared" si="65"/>
        <v>5988.93</v>
      </c>
    </row>
    <row r="409" spans="1:110"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f t="shared" si="66"/>
        <v>0</v>
      </c>
      <c r="CY409">
        <f t="shared" si="67"/>
        <v>0</v>
      </c>
      <c r="CZ409">
        <f t="shared" si="68"/>
        <v>0</v>
      </c>
      <c r="DA409">
        <f t="shared" si="69"/>
        <v>0</v>
      </c>
      <c r="DB409">
        <f t="shared" si="70"/>
        <v>0</v>
      </c>
      <c r="DC409">
        <f t="shared" si="71"/>
        <v>4251.8</v>
      </c>
      <c r="DD409">
        <f t="shared" si="72"/>
        <v>1679.61</v>
      </c>
      <c r="DE409">
        <f t="shared" si="73"/>
        <v>0</v>
      </c>
      <c r="DF409">
        <f t="shared" si="65"/>
        <v>5931.41</v>
      </c>
    </row>
    <row r="410" spans="1:110"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f t="shared" si="66"/>
        <v>0</v>
      </c>
      <c r="CY410">
        <f t="shared" si="67"/>
        <v>0</v>
      </c>
      <c r="CZ410">
        <f t="shared" si="68"/>
        <v>0</v>
      </c>
      <c r="DA410">
        <f t="shared" si="69"/>
        <v>0</v>
      </c>
      <c r="DB410">
        <f t="shared" si="70"/>
        <v>0</v>
      </c>
      <c r="DC410">
        <f t="shared" si="71"/>
        <v>0</v>
      </c>
      <c r="DD410">
        <f t="shared" si="72"/>
        <v>0</v>
      </c>
      <c r="DE410">
        <f t="shared" si="73"/>
        <v>2030.24</v>
      </c>
      <c r="DF410">
        <f t="shared" si="65"/>
        <v>2030.24</v>
      </c>
    </row>
    <row r="411" spans="1:110"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f t="shared" si="66"/>
        <v>0</v>
      </c>
      <c r="CY411">
        <f t="shared" si="67"/>
        <v>2282.4</v>
      </c>
      <c r="CZ411">
        <f t="shared" si="68"/>
        <v>0</v>
      </c>
      <c r="DA411">
        <f t="shared" si="69"/>
        <v>0</v>
      </c>
      <c r="DB411">
        <f t="shared" si="70"/>
        <v>0</v>
      </c>
      <c r="DC411">
        <f t="shared" si="71"/>
        <v>0</v>
      </c>
      <c r="DD411">
        <f t="shared" si="72"/>
        <v>0</v>
      </c>
      <c r="DE411">
        <f t="shared" si="73"/>
        <v>0</v>
      </c>
      <c r="DF411">
        <f t="shared" si="65"/>
        <v>2282.4</v>
      </c>
    </row>
    <row r="412" spans="1:110"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f t="shared" si="66"/>
        <v>0</v>
      </c>
      <c r="CY412">
        <f t="shared" si="67"/>
        <v>0</v>
      </c>
      <c r="CZ412">
        <f t="shared" si="68"/>
        <v>0</v>
      </c>
      <c r="DA412">
        <f t="shared" si="69"/>
        <v>0</v>
      </c>
      <c r="DB412">
        <f t="shared" si="70"/>
        <v>0</v>
      </c>
      <c r="DC412">
        <f t="shared" si="71"/>
        <v>6991</v>
      </c>
      <c r="DD412">
        <f t="shared" si="72"/>
        <v>0</v>
      </c>
      <c r="DE412">
        <f t="shared" si="73"/>
        <v>0</v>
      </c>
      <c r="DF412">
        <f t="shared" si="65"/>
        <v>6991</v>
      </c>
    </row>
    <row r="413" spans="1:110"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f t="shared" si="66"/>
        <v>0</v>
      </c>
      <c r="CY413">
        <f t="shared" si="67"/>
        <v>0</v>
      </c>
      <c r="CZ413">
        <f t="shared" si="68"/>
        <v>0</v>
      </c>
      <c r="DA413">
        <f t="shared" si="69"/>
        <v>0</v>
      </c>
      <c r="DB413">
        <f t="shared" si="70"/>
        <v>0</v>
      </c>
      <c r="DC413">
        <f t="shared" si="71"/>
        <v>6046</v>
      </c>
      <c r="DD413">
        <f t="shared" si="72"/>
        <v>128.13999999999999</v>
      </c>
      <c r="DE413">
        <f t="shared" si="73"/>
        <v>0</v>
      </c>
      <c r="DF413">
        <f t="shared" si="65"/>
        <v>6174.14</v>
      </c>
    </row>
    <row r="414" spans="1:110"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f t="shared" si="66"/>
        <v>0</v>
      </c>
      <c r="CY414">
        <f t="shared" si="67"/>
        <v>0</v>
      </c>
      <c r="CZ414">
        <f t="shared" si="68"/>
        <v>0</v>
      </c>
      <c r="DA414">
        <f t="shared" si="69"/>
        <v>0</v>
      </c>
      <c r="DB414">
        <f t="shared" si="70"/>
        <v>0</v>
      </c>
      <c r="DC414">
        <f t="shared" si="71"/>
        <v>0</v>
      </c>
      <c r="DD414">
        <f t="shared" si="72"/>
        <v>7151.96</v>
      </c>
      <c r="DE414">
        <f t="shared" si="73"/>
        <v>20675.72</v>
      </c>
      <c r="DF414">
        <f t="shared" si="65"/>
        <v>27827.68</v>
      </c>
    </row>
    <row r="415" spans="1:110"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f t="shared" si="66"/>
        <v>0</v>
      </c>
      <c r="CY415">
        <f t="shared" si="67"/>
        <v>0</v>
      </c>
      <c r="CZ415">
        <f t="shared" si="68"/>
        <v>0</v>
      </c>
      <c r="DA415">
        <f t="shared" si="69"/>
        <v>0</v>
      </c>
      <c r="DB415">
        <f t="shared" si="70"/>
        <v>0</v>
      </c>
      <c r="DC415">
        <f t="shared" si="71"/>
        <v>6910.4500000000007</v>
      </c>
      <c r="DD415">
        <f t="shared" si="72"/>
        <v>4266.3600000000006</v>
      </c>
      <c r="DE415">
        <f t="shared" si="73"/>
        <v>0</v>
      </c>
      <c r="DF415">
        <f t="shared" si="65"/>
        <v>11176.810000000001</v>
      </c>
    </row>
    <row r="416" spans="1:110"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f t="shared" si="66"/>
        <v>0</v>
      </c>
      <c r="CY416">
        <f t="shared" si="67"/>
        <v>0</v>
      </c>
      <c r="CZ416">
        <f t="shared" si="68"/>
        <v>0</v>
      </c>
      <c r="DA416">
        <f t="shared" si="69"/>
        <v>0</v>
      </c>
      <c r="DB416">
        <f t="shared" si="70"/>
        <v>0</v>
      </c>
      <c r="DC416">
        <f t="shared" si="71"/>
        <v>0</v>
      </c>
      <c r="DD416">
        <f t="shared" si="72"/>
        <v>1345.01</v>
      </c>
      <c r="DE416">
        <f t="shared" si="73"/>
        <v>0</v>
      </c>
      <c r="DF416">
        <f t="shared" si="65"/>
        <v>1345.01</v>
      </c>
    </row>
    <row r="417" spans="1:110"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f t="shared" si="66"/>
        <v>0</v>
      </c>
      <c r="CY417">
        <f t="shared" si="67"/>
        <v>0</v>
      </c>
      <c r="CZ417">
        <f t="shared" si="68"/>
        <v>0</v>
      </c>
      <c r="DA417">
        <f t="shared" si="69"/>
        <v>0</v>
      </c>
      <c r="DB417">
        <f t="shared" si="70"/>
        <v>0</v>
      </c>
      <c r="DC417">
        <f t="shared" si="71"/>
        <v>2734.1800000000003</v>
      </c>
      <c r="DD417">
        <f t="shared" si="72"/>
        <v>14774.519999999999</v>
      </c>
      <c r="DE417">
        <f t="shared" si="73"/>
        <v>4932.42</v>
      </c>
      <c r="DF417">
        <f t="shared" si="65"/>
        <v>22441.119999999999</v>
      </c>
    </row>
    <row r="418" spans="1:110"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f t="shared" si="66"/>
        <v>0</v>
      </c>
      <c r="CY418">
        <f t="shared" si="67"/>
        <v>0</v>
      </c>
      <c r="CZ418">
        <f t="shared" si="68"/>
        <v>0</v>
      </c>
      <c r="DA418">
        <f t="shared" si="69"/>
        <v>20306.240000000002</v>
      </c>
      <c r="DB418">
        <f t="shared" si="70"/>
        <v>8256.5399999999991</v>
      </c>
      <c r="DC418">
        <f t="shared" si="71"/>
        <v>2860.09</v>
      </c>
      <c r="DD418">
        <f t="shared" si="72"/>
        <v>0</v>
      </c>
      <c r="DE418">
        <f t="shared" si="73"/>
        <v>0</v>
      </c>
      <c r="DF418">
        <f t="shared" si="65"/>
        <v>31422.87</v>
      </c>
    </row>
    <row r="419" spans="1:110"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f t="shared" si="66"/>
        <v>0</v>
      </c>
      <c r="CY419">
        <f t="shared" si="67"/>
        <v>0</v>
      </c>
      <c r="CZ419">
        <f t="shared" si="68"/>
        <v>1425.38</v>
      </c>
      <c r="DA419">
        <f t="shared" si="69"/>
        <v>92.25</v>
      </c>
      <c r="DB419">
        <f t="shared" si="70"/>
        <v>0</v>
      </c>
      <c r="DC419">
        <f t="shared" si="71"/>
        <v>0</v>
      </c>
      <c r="DD419">
        <f t="shared" si="72"/>
        <v>0</v>
      </c>
      <c r="DE419">
        <f t="shared" si="73"/>
        <v>0</v>
      </c>
      <c r="DF419">
        <f t="shared" si="65"/>
        <v>1517.63</v>
      </c>
    </row>
    <row r="420" spans="1:110"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f t="shared" si="66"/>
        <v>1337.17</v>
      </c>
      <c r="CY420">
        <f t="shared" si="67"/>
        <v>8760.3499999999985</v>
      </c>
      <c r="CZ420">
        <f t="shared" si="68"/>
        <v>5213.5200000000004</v>
      </c>
      <c r="DA420">
        <f t="shared" si="69"/>
        <v>1323.57</v>
      </c>
      <c r="DB420">
        <f t="shared" si="70"/>
        <v>0</v>
      </c>
      <c r="DC420">
        <f t="shared" si="71"/>
        <v>0</v>
      </c>
      <c r="DD420">
        <f t="shared" si="72"/>
        <v>0</v>
      </c>
      <c r="DE420">
        <f t="shared" si="73"/>
        <v>0</v>
      </c>
      <c r="DF420">
        <f t="shared" si="65"/>
        <v>16634.61</v>
      </c>
    </row>
    <row r="421" spans="1:110"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f t="shared" si="66"/>
        <v>0</v>
      </c>
      <c r="CY421">
        <f t="shared" si="67"/>
        <v>0</v>
      </c>
      <c r="CZ421">
        <f t="shared" si="68"/>
        <v>0</v>
      </c>
      <c r="DA421">
        <f t="shared" si="69"/>
        <v>0</v>
      </c>
      <c r="DB421">
        <f t="shared" si="70"/>
        <v>0</v>
      </c>
      <c r="DC421">
        <f t="shared" si="71"/>
        <v>1702.9700000000003</v>
      </c>
      <c r="DD421">
        <f t="shared" si="72"/>
        <v>0</v>
      </c>
      <c r="DE421">
        <f t="shared" si="73"/>
        <v>0</v>
      </c>
      <c r="DF421">
        <f t="shared" si="65"/>
        <v>1702.9700000000003</v>
      </c>
    </row>
    <row r="422" spans="1:110"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f t="shared" si="66"/>
        <v>0</v>
      </c>
      <c r="CY422">
        <f t="shared" si="67"/>
        <v>0</v>
      </c>
      <c r="CZ422">
        <f t="shared" si="68"/>
        <v>0</v>
      </c>
      <c r="DA422">
        <f t="shared" si="69"/>
        <v>0</v>
      </c>
      <c r="DB422">
        <f t="shared" si="70"/>
        <v>0</v>
      </c>
      <c r="DC422">
        <f t="shared" si="71"/>
        <v>5380.52</v>
      </c>
      <c r="DD422">
        <f t="shared" si="72"/>
        <v>0</v>
      </c>
      <c r="DE422">
        <f t="shared" si="73"/>
        <v>0</v>
      </c>
      <c r="DF422">
        <f t="shared" si="65"/>
        <v>5380.52</v>
      </c>
    </row>
    <row r="423" spans="1:110"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f t="shared" si="66"/>
        <v>0</v>
      </c>
      <c r="CY423">
        <f t="shared" si="67"/>
        <v>0</v>
      </c>
      <c r="CZ423">
        <f t="shared" si="68"/>
        <v>0</v>
      </c>
      <c r="DA423">
        <f t="shared" si="69"/>
        <v>2666.56</v>
      </c>
      <c r="DB423">
        <f t="shared" si="70"/>
        <v>2740.21</v>
      </c>
      <c r="DC423">
        <f t="shared" si="71"/>
        <v>0</v>
      </c>
      <c r="DD423">
        <f t="shared" si="72"/>
        <v>0</v>
      </c>
      <c r="DE423">
        <f t="shared" si="73"/>
        <v>0</v>
      </c>
      <c r="DF423">
        <f t="shared" si="65"/>
        <v>5406.77</v>
      </c>
    </row>
    <row r="424" spans="1:110"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f t="shared" si="66"/>
        <v>0</v>
      </c>
      <c r="CY424">
        <f t="shared" si="67"/>
        <v>0</v>
      </c>
      <c r="CZ424">
        <f t="shared" si="68"/>
        <v>0</v>
      </c>
      <c r="DA424">
        <f t="shared" si="69"/>
        <v>4102.0600000000004</v>
      </c>
      <c r="DB424">
        <f t="shared" si="70"/>
        <v>4803.12</v>
      </c>
      <c r="DC424">
        <f t="shared" si="71"/>
        <v>1380.04</v>
      </c>
      <c r="DD424">
        <f t="shared" si="72"/>
        <v>0</v>
      </c>
      <c r="DE424">
        <f t="shared" si="73"/>
        <v>0</v>
      </c>
      <c r="DF424">
        <f t="shared" si="65"/>
        <v>10285.220000000001</v>
      </c>
    </row>
    <row r="425" spans="1:110"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f t="shared" si="66"/>
        <v>0</v>
      </c>
      <c r="CY425">
        <f t="shared" si="67"/>
        <v>0</v>
      </c>
      <c r="CZ425">
        <f t="shared" si="68"/>
        <v>0</v>
      </c>
      <c r="DA425">
        <f t="shared" si="69"/>
        <v>0</v>
      </c>
      <c r="DB425">
        <f t="shared" si="70"/>
        <v>0</v>
      </c>
      <c r="DC425">
        <f t="shared" si="71"/>
        <v>0</v>
      </c>
      <c r="DD425">
        <f t="shared" si="72"/>
        <v>0</v>
      </c>
      <c r="DE425">
        <f t="shared" si="73"/>
        <v>4741.68</v>
      </c>
      <c r="DF425">
        <f t="shared" si="65"/>
        <v>4741.68</v>
      </c>
    </row>
    <row r="426" spans="1:110"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f t="shared" si="66"/>
        <v>0</v>
      </c>
      <c r="CY426">
        <f t="shared" si="67"/>
        <v>0</v>
      </c>
      <c r="CZ426">
        <f t="shared" si="68"/>
        <v>4678.55</v>
      </c>
      <c r="DA426">
        <f t="shared" si="69"/>
        <v>808.26</v>
      </c>
      <c r="DB426">
        <f t="shared" si="70"/>
        <v>0</v>
      </c>
      <c r="DC426">
        <f t="shared" si="71"/>
        <v>0</v>
      </c>
      <c r="DD426">
        <f t="shared" si="72"/>
        <v>0</v>
      </c>
      <c r="DE426">
        <f t="shared" si="73"/>
        <v>0</v>
      </c>
      <c r="DF426">
        <f t="shared" si="65"/>
        <v>5486.81</v>
      </c>
    </row>
    <row r="427" spans="1:110"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f t="shared" si="66"/>
        <v>0</v>
      </c>
      <c r="CY427">
        <f t="shared" si="67"/>
        <v>0</v>
      </c>
      <c r="CZ427">
        <f t="shared" si="68"/>
        <v>0</v>
      </c>
      <c r="DA427">
        <f t="shared" si="69"/>
        <v>0</v>
      </c>
      <c r="DB427">
        <f t="shared" si="70"/>
        <v>0</v>
      </c>
      <c r="DC427">
        <f t="shared" si="71"/>
        <v>0</v>
      </c>
      <c r="DD427">
        <f t="shared" si="72"/>
        <v>8342.36</v>
      </c>
      <c r="DE427">
        <f t="shared" si="73"/>
        <v>2702.05</v>
      </c>
      <c r="DF427">
        <f t="shared" si="65"/>
        <v>11044.41</v>
      </c>
    </row>
    <row r="428" spans="1:110"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f t="shared" si="66"/>
        <v>0</v>
      </c>
      <c r="CY428">
        <f t="shared" si="67"/>
        <v>0</v>
      </c>
      <c r="CZ428">
        <f t="shared" si="68"/>
        <v>0</v>
      </c>
      <c r="DA428">
        <f t="shared" si="69"/>
        <v>0</v>
      </c>
      <c r="DB428">
        <f t="shared" si="70"/>
        <v>734.91</v>
      </c>
      <c r="DC428">
        <f t="shared" si="71"/>
        <v>2586.2200000000003</v>
      </c>
      <c r="DD428">
        <f t="shared" si="72"/>
        <v>0</v>
      </c>
      <c r="DE428">
        <f t="shared" si="73"/>
        <v>0</v>
      </c>
      <c r="DF428">
        <f t="shared" si="65"/>
        <v>3321.13</v>
      </c>
    </row>
    <row r="429" spans="1:110"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f t="shared" si="66"/>
        <v>0</v>
      </c>
      <c r="CY429">
        <f t="shared" si="67"/>
        <v>0</v>
      </c>
      <c r="CZ429">
        <f t="shared" si="68"/>
        <v>0</v>
      </c>
      <c r="DA429">
        <f t="shared" si="69"/>
        <v>0</v>
      </c>
      <c r="DB429">
        <f t="shared" si="70"/>
        <v>0</v>
      </c>
      <c r="DC429">
        <f t="shared" si="71"/>
        <v>0</v>
      </c>
      <c r="DD429">
        <f t="shared" si="72"/>
        <v>0</v>
      </c>
      <c r="DE429">
        <f t="shared" si="73"/>
        <v>3612.76</v>
      </c>
      <c r="DF429">
        <f t="shared" si="65"/>
        <v>3612.76</v>
      </c>
    </row>
    <row r="430" spans="1:110"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f t="shared" si="66"/>
        <v>0</v>
      </c>
      <c r="CY430">
        <f t="shared" si="67"/>
        <v>0</v>
      </c>
      <c r="CZ430">
        <f t="shared" si="68"/>
        <v>0</v>
      </c>
      <c r="DA430">
        <f t="shared" si="69"/>
        <v>0</v>
      </c>
      <c r="DB430">
        <f t="shared" si="70"/>
        <v>0</v>
      </c>
      <c r="DC430">
        <f t="shared" si="71"/>
        <v>0</v>
      </c>
      <c r="DD430">
        <f t="shared" si="72"/>
        <v>4598.7</v>
      </c>
      <c r="DE430">
        <f t="shared" si="73"/>
        <v>0</v>
      </c>
      <c r="DF430">
        <f t="shared" si="65"/>
        <v>4598.7</v>
      </c>
    </row>
    <row r="431" spans="1:110"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f t="shared" si="66"/>
        <v>0</v>
      </c>
      <c r="CY431">
        <f t="shared" si="67"/>
        <v>0</v>
      </c>
      <c r="CZ431">
        <f t="shared" si="68"/>
        <v>0</v>
      </c>
      <c r="DA431">
        <f t="shared" si="69"/>
        <v>0</v>
      </c>
      <c r="DB431">
        <f t="shared" si="70"/>
        <v>30.1</v>
      </c>
      <c r="DC431">
        <f t="shared" si="71"/>
        <v>2408.7800000000002</v>
      </c>
      <c r="DD431">
        <f t="shared" si="72"/>
        <v>527.29</v>
      </c>
      <c r="DE431">
        <f t="shared" si="73"/>
        <v>0</v>
      </c>
      <c r="DF431">
        <f t="shared" si="65"/>
        <v>2966.17</v>
      </c>
    </row>
    <row r="432" spans="1:110"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f t="shared" si="66"/>
        <v>0</v>
      </c>
      <c r="CY432">
        <f t="shared" si="67"/>
        <v>0</v>
      </c>
      <c r="CZ432">
        <f t="shared" si="68"/>
        <v>0</v>
      </c>
      <c r="DA432">
        <f t="shared" si="69"/>
        <v>0</v>
      </c>
      <c r="DB432">
        <f t="shared" si="70"/>
        <v>0</v>
      </c>
      <c r="DC432">
        <f t="shared" si="71"/>
        <v>6732.0499999999993</v>
      </c>
      <c r="DD432">
        <f t="shared" si="72"/>
        <v>0</v>
      </c>
      <c r="DE432">
        <f t="shared" si="73"/>
        <v>0</v>
      </c>
      <c r="DF432">
        <f t="shared" si="65"/>
        <v>6732.0499999999993</v>
      </c>
    </row>
    <row r="433" spans="1:110"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f t="shared" si="66"/>
        <v>0</v>
      </c>
      <c r="CY433">
        <f t="shared" si="67"/>
        <v>0</v>
      </c>
      <c r="CZ433">
        <f t="shared" si="68"/>
        <v>0</v>
      </c>
      <c r="DA433">
        <f t="shared" si="69"/>
        <v>10535.62</v>
      </c>
      <c r="DB433">
        <f t="shared" si="70"/>
        <v>0</v>
      </c>
      <c r="DC433">
        <f t="shared" si="71"/>
        <v>0</v>
      </c>
      <c r="DD433">
        <f t="shared" si="72"/>
        <v>0</v>
      </c>
      <c r="DE433">
        <f t="shared" si="73"/>
        <v>0</v>
      </c>
      <c r="DF433">
        <f t="shared" si="65"/>
        <v>10535.62</v>
      </c>
    </row>
    <row r="434" spans="1:110"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f t="shared" si="66"/>
        <v>4988</v>
      </c>
      <c r="CY434">
        <f t="shared" si="67"/>
        <v>0</v>
      </c>
      <c r="CZ434">
        <f t="shared" si="68"/>
        <v>0</v>
      </c>
      <c r="DA434">
        <f t="shared" si="69"/>
        <v>0</v>
      </c>
      <c r="DB434">
        <f t="shared" si="70"/>
        <v>0</v>
      </c>
      <c r="DC434">
        <f t="shared" si="71"/>
        <v>0</v>
      </c>
      <c r="DD434">
        <f t="shared" si="72"/>
        <v>0</v>
      </c>
      <c r="DE434">
        <f t="shared" si="73"/>
        <v>0</v>
      </c>
      <c r="DF434">
        <f t="shared" si="65"/>
        <v>4988</v>
      </c>
    </row>
    <row r="435" spans="1:110"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f t="shared" si="66"/>
        <v>0</v>
      </c>
      <c r="CY435">
        <f t="shared" si="67"/>
        <v>0</v>
      </c>
      <c r="CZ435">
        <f t="shared" si="68"/>
        <v>0</v>
      </c>
      <c r="DA435">
        <f t="shared" si="69"/>
        <v>0</v>
      </c>
      <c r="DB435">
        <f t="shared" si="70"/>
        <v>2158.04</v>
      </c>
      <c r="DC435">
        <f t="shared" si="71"/>
        <v>0</v>
      </c>
      <c r="DD435">
        <f t="shared" si="72"/>
        <v>0</v>
      </c>
      <c r="DE435">
        <f t="shared" si="73"/>
        <v>0</v>
      </c>
      <c r="DF435">
        <f t="shared" si="65"/>
        <v>2158.04</v>
      </c>
    </row>
    <row r="436" spans="1:110"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f t="shared" si="66"/>
        <v>0</v>
      </c>
      <c r="CY436">
        <f t="shared" si="67"/>
        <v>0</v>
      </c>
      <c r="CZ436">
        <f t="shared" si="68"/>
        <v>0</v>
      </c>
      <c r="DA436">
        <f t="shared" si="69"/>
        <v>0</v>
      </c>
      <c r="DB436">
        <f t="shared" si="70"/>
        <v>4415.3900000000003</v>
      </c>
      <c r="DC436">
        <f t="shared" si="71"/>
        <v>0</v>
      </c>
      <c r="DD436">
        <f t="shared" si="72"/>
        <v>0</v>
      </c>
      <c r="DE436">
        <f t="shared" si="73"/>
        <v>0</v>
      </c>
      <c r="DF436">
        <f t="shared" si="65"/>
        <v>4415.3900000000003</v>
      </c>
    </row>
    <row r="437" spans="1:110"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f t="shared" si="66"/>
        <v>0</v>
      </c>
      <c r="CY437">
        <f t="shared" si="67"/>
        <v>0</v>
      </c>
      <c r="CZ437">
        <f t="shared" si="68"/>
        <v>0</v>
      </c>
      <c r="DA437">
        <f t="shared" si="69"/>
        <v>0</v>
      </c>
      <c r="DB437">
        <f t="shared" si="70"/>
        <v>1052.4099999999999</v>
      </c>
      <c r="DC437">
        <f t="shared" si="71"/>
        <v>1203.3800000000001</v>
      </c>
      <c r="DD437">
        <f t="shared" si="72"/>
        <v>0</v>
      </c>
      <c r="DE437">
        <f t="shared" si="73"/>
        <v>0</v>
      </c>
      <c r="DF437">
        <f t="shared" si="65"/>
        <v>2255.79</v>
      </c>
    </row>
    <row r="438" spans="1:110"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f t="shared" si="66"/>
        <v>0</v>
      </c>
      <c r="CY438">
        <f t="shared" si="67"/>
        <v>0</v>
      </c>
      <c r="CZ438">
        <f t="shared" si="68"/>
        <v>6110.0300000000007</v>
      </c>
      <c r="DA438">
        <f t="shared" si="69"/>
        <v>0</v>
      </c>
      <c r="DB438">
        <f t="shared" si="70"/>
        <v>0</v>
      </c>
      <c r="DC438">
        <f t="shared" si="71"/>
        <v>0</v>
      </c>
      <c r="DD438">
        <f t="shared" si="72"/>
        <v>0</v>
      </c>
      <c r="DE438">
        <f t="shared" si="73"/>
        <v>0</v>
      </c>
      <c r="DF438">
        <f t="shared" si="65"/>
        <v>6110.0300000000007</v>
      </c>
    </row>
    <row r="439" spans="1:110"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f t="shared" si="66"/>
        <v>0</v>
      </c>
      <c r="CY439">
        <f t="shared" si="67"/>
        <v>0</v>
      </c>
      <c r="CZ439">
        <f t="shared" si="68"/>
        <v>0</v>
      </c>
      <c r="DA439">
        <f t="shared" si="69"/>
        <v>0</v>
      </c>
      <c r="DB439">
        <f t="shared" si="70"/>
        <v>7078.59</v>
      </c>
      <c r="DC439">
        <f t="shared" si="71"/>
        <v>0</v>
      </c>
      <c r="DD439">
        <f t="shared" si="72"/>
        <v>0</v>
      </c>
      <c r="DE439">
        <f t="shared" si="73"/>
        <v>0</v>
      </c>
      <c r="DF439">
        <f t="shared" si="65"/>
        <v>7078.59</v>
      </c>
    </row>
    <row r="440" spans="1:110"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f t="shared" si="66"/>
        <v>0</v>
      </c>
      <c r="CY440">
        <f t="shared" si="67"/>
        <v>0</v>
      </c>
      <c r="CZ440">
        <f t="shared" si="68"/>
        <v>0</v>
      </c>
      <c r="DA440">
        <f t="shared" si="69"/>
        <v>0</v>
      </c>
      <c r="DB440">
        <f t="shared" si="70"/>
        <v>0</v>
      </c>
      <c r="DC440">
        <f t="shared" si="71"/>
        <v>0</v>
      </c>
      <c r="DD440">
        <f t="shared" si="72"/>
        <v>0</v>
      </c>
      <c r="DE440">
        <f t="shared" si="73"/>
        <v>5562.66</v>
      </c>
      <c r="DF440">
        <f t="shared" si="65"/>
        <v>5562.66</v>
      </c>
    </row>
    <row r="441" spans="1:110"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f t="shared" si="66"/>
        <v>0</v>
      </c>
      <c r="CY441">
        <f t="shared" si="67"/>
        <v>0</v>
      </c>
      <c r="CZ441">
        <f t="shared" si="68"/>
        <v>0</v>
      </c>
      <c r="DA441">
        <f t="shared" si="69"/>
        <v>0</v>
      </c>
      <c r="DB441">
        <f t="shared" si="70"/>
        <v>4081.82</v>
      </c>
      <c r="DC441">
        <f t="shared" si="71"/>
        <v>0</v>
      </c>
      <c r="DD441">
        <f t="shared" si="72"/>
        <v>0</v>
      </c>
      <c r="DE441">
        <f t="shared" si="73"/>
        <v>0</v>
      </c>
      <c r="DF441">
        <f t="shared" si="65"/>
        <v>4081.82</v>
      </c>
    </row>
    <row r="442" spans="1:110"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f t="shared" si="66"/>
        <v>0</v>
      </c>
      <c r="CY442">
        <f t="shared" si="67"/>
        <v>0</v>
      </c>
      <c r="CZ442">
        <f t="shared" si="68"/>
        <v>3395.93</v>
      </c>
      <c r="DA442">
        <f t="shared" si="69"/>
        <v>0</v>
      </c>
      <c r="DB442">
        <f t="shared" si="70"/>
        <v>0</v>
      </c>
      <c r="DC442">
        <f t="shared" si="71"/>
        <v>0</v>
      </c>
      <c r="DD442">
        <f t="shared" si="72"/>
        <v>0</v>
      </c>
      <c r="DE442">
        <f t="shared" si="73"/>
        <v>0</v>
      </c>
      <c r="DF442">
        <f t="shared" si="65"/>
        <v>3395.93</v>
      </c>
    </row>
    <row r="443" spans="1:110"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f t="shared" si="66"/>
        <v>0</v>
      </c>
      <c r="CY443">
        <f t="shared" si="67"/>
        <v>0</v>
      </c>
      <c r="CZ443">
        <f t="shared" si="68"/>
        <v>0</v>
      </c>
      <c r="DA443">
        <f t="shared" si="69"/>
        <v>0</v>
      </c>
      <c r="DB443">
        <f t="shared" si="70"/>
        <v>0</v>
      </c>
      <c r="DC443">
        <f t="shared" si="71"/>
        <v>0</v>
      </c>
      <c r="DD443">
        <f t="shared" si="72"/>
        <v>1279.93</v>
      </c>
      <c r="DE443">
        <f t="shared" si="73"/>
        <v>4265.82</v>
      </c>
      <c r="DF443">
        <f t="shared" si="65"/>
        <v>5545.75</v>
      </c>
    </row>
    <row r="444" spans="1:110"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f t="shared" si="66"/>
        <v>0</v>
      </c>
      <c r="CY444">
        <f t="shared" si="67"/>
        <v>0</v>
      </c>
      <c r="CZ444">
        <f t="shared" si="68"/>
        <v>0</v>
      </c>
      <c r="DA444">
        <f t="shared" si="69"/>
        <v>0</v>
      </c>
      <c r="DB444">
        <f t="shared" si="70"/>
        <v>0</v>
      </c>
      <c r="DC444">
        <f t="shared" si="71"/>
        <v>0</v>
      </c>
      <c r="DD444">
        <f t="shared" si="72"/>
        <v>7016.79</v>
      </c>
      <c r="DE444">
        <f t="shared" si="73"/>
        <v>0</v>
      </c>
      <c r="DF444">
        <f t="shared" si="65"/>
        <v>7016.79</v>
      </c>
    </row>
    <row r="445" spans="1:110"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f t="shared" si="66"/>
        <v>0</v>
      </c>
      <c r="CY445">
        <f t="shared" si="67"/>
        <v>0</v>
      </c>
      <c r="CZ445">
        <f t="shared" si="68"/>
        <v>0</v>
      </c>
      <c r="DA445">
        <f t="shared" si="69"/>
        <v>1317.08</v>
      </c>
      <c r="DB445">
        <f t="shared" si="70"/>
        <v>2332.4499999999998</v>
      </c>
      <c r="DC445">
        <f t="shared" si="71"/>
        <v>312.7</v>
      </c>
      <c r="DD445">
        <f t="shared" si="72"/>
        <v>0</v>
      </c>
      <c r="DE445">
        <f t="shared" si="73"/>
        <v>0</v>
      </c>
      <c r="DF445">
        <f t="shared" si="65"/>
        <v>3962.2299999999996</v>
      </c>
    </row>
    <row r="446" spans="1:110"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f t="shared" si="66"/>
        <v>0</v>
      </c>
      <c r="CY446">
        <f t="shared" si="67"/>
        <v>0</v>
      </c>
      <c r="CZ446">
        <f t="shared" si="68"/>
        <v>0</v>
      </c>
      <c r="DA446">
        <f t="shared" si="69"/>
        <v>0</v>
      </c>
      <c r="DB446">
        <f t="shared" si="70"/>
        <v>0</v>
      </c>
      <c r="DC446">
        <f t="shared" si="71"/>
        <v>0</v>
      </c>
      <c r="DD446">
        <f t="shared" si="72"/>
        <v>0</v>
      </c>
      <c r="DE446">
        <f t="shared" si="73"/>
        <v>4224.17</v>
      </c>
      <c r="DF446">
        <f t="shared" si="65"/>
        <v>4224.17</v>
      </c>
    </row>
    <row r="447" spans="1:110"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f t="shared" si="66"/>
        <v>0</v>
      </c>
      <c r="CY447">
        <f t="shared" si="67"/>
        <v>0</v>
      </c>
      <c r="CZ447">
        <f t="shared" si="68"/>
        <v>0</v>
      </c>
      <c r="DA447">
        <f t="shared" si="69"/>
        <v>0</v>
      </c>
      <c r="DB447">
        <f t="shared" si="70"/>
        <v>3142.05</v>
      </c>
      <c r="DC447">
        <f t="shared" si="71"/>
        <v>6381.2000000000007</v>
      </c>
      <c r="DD447">
        <f t="shared" si="72"/>
        <v>2140.96</v>
      </c>
      <c r="DE447">
        <f t="shared" si="73"/>
        <v>0</v>
      </c>
      <c r="DF447">
        <f t="shared" si="65"/>
        <v>11664.210000000001</v>
      </c>
    </row>
    <row r="448" spans="1:110"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f t="shared" si="66"/>
        <v>0</v>
      </c>
      <c r="CY448">
        <f t="shared" si="67"/>
        <v>0</v>
      </c>
      <c r="CZ448">
        <f t="shared" si="68"/>
        <v>6315.95</v>
      </c>
      <c r="DA448">
        <f t="shared" si="69"/>
        <v>4458.78</v>
      </c>
      <c r="DB448">
        <f t="shared" si="70"/>
        <v>1202.72</v>
      </c>
      <c r="DC448">
        <f t="shared" si="71"/>
        <v>0</v>
      </c>
      <c r="DD448">
        <f t="shared" si="72"/>
        <v>0</v>
      </c>
      <c r="DE448">
        <f t="shared" si="73"/>
        <v>0</v>
      </c>
      <c r="DF448">
        <f t="shared" si="65"/>
        <v>11977.449999999999</v>
      </c>
    </row>
    <row r="449" spans="1:110"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f t="shared" si="66"/>
        <v>0</v>
      </c>
      <c r="CY449">
        <f t="shared" si="67"/>
        <v>0</v>
      </c>
      <c r="CZ449">
        <f t="shared" si="68"/>
        <v>0</v>
      </c>
      <c r="DA449">
        <f t="shared" si="69"/>
        <v>0</v>
      </c>
      <c r="DB449">
        <f t="shared" si="70"/>
        <v>3539.21</v>
      </c>
      <c r="DC449">
        <f t="shared" si="71"/>
        <v>1828.4</v>
      </c>
      <c r="DD449">
        <f t="shared" si="72"/>
        <v>0</v>
      </c>
      <c r="DE449">
        <f t="shared" si="73"/>
        <v>0</v>
      </c>
      <c r="DF449">
        <f t="shared" si="65"/>
        <v>5367.61</v>
      </c>
    </row>
    <row r="450" spans="1:110"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f t="shared" si="66"/>
        <v>0</v>
      </c>
      <c r="CY450">
        <f t="shared" si="67"/>
        <v>0</v>
      </c>
      <c r="CZ450">
        <f t="shared" si="68"/>
        <v>0</v>
      </c>
      <c r="DA450">
        <f t="shared" si="69"/>
        <v>0</v>
      </c>
      <c r="DB450">
        <f t="shared" si="70"/>
        <v>0</v>
      </c>
      <c r="DC450">
        <f t="shared" si="71"/>
        <v>0</v>
      </c>
      <c r="DD450">
        <f t="shared" si="72"/>
        <v>0</v>
      </c>
      <c r="DE450">
        <f t="shared" si="73"/>
        <v>9193.7900000000009</v>
      </c>
      <c r="DF450">
        <f t="shared" si="65"/>
        <v>9193.7900000000009</v>
      </c>
    </row>
    <row r="451" spans="1:110"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f t="shared" si="66"/>
        <v>0</v>
      </c>
      <c r="CY451">
        <f t="shared" si="67"/>
        <v>0</v>
      </c>
      <c r="CZ451">
        <f t="shared" si="68"/>
        <v>0</v>
      </c>
      <c r="DA451">
        <f t="shared" si="69"/>
        <v>0</v>
      </c>
      <c r="DB451">
        <f t="shared" si="70"/>
        <v>3205.19</v>
      </c>
      <c r="DC451">
        <f t="shared" si="71"/>
        <v>4055.96</v>
      </c>
      <c r="DD451">
        <f t="shared" si="72"/>
        <v>0</v>
      </c>
      <c r="DE451">
        <f t="shared" si="73"/>
        <v>0</v>
      </c>
      <c r="DF451">
        <f t="shared" ref="DF451:DF499" si="74">SUM(F451:CW451)</f>
        <v>7261.15</v>
      </c>
    </row>
    <row r="452" spans="1:110"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f t="shared" ref="CX452:CX499" si="75">SUM(F452:Q452)</f>
        <v>0</v>
      </c>
      <c r="CY452">
        <f t="shared" ref="CY452:CY499" si="76">SUM(R452:AC452)</f>
        <v>4807.09</v>
      </c>
      <c r="CZ452">
        <f t="shared" ref="CZ452:CZ499" si="77">SUM(AD452:AO452)</f>
        <v>0</v>
      </c>
      <c r="DA452">
        <f t="shared" ref="DA452:DA499" si="78">SUM(AP452:BA452)</f>
        <v>0</v>
      </c>
      <c r="DB452">
        <f t="shared" ref="DB452:DB499" si="79">SUM(BB452:BM452)</f>
        <v>0</v>
      </c>
      <c r="DC452">
        <f t="shared" ref="DC452:DC499" si="80">SUM(BN452:BY452)</f>
        <v>0</v>
      </c>
      <c r="DD452">
        <f t="shared" ref="DD452:DD499" si="81">SUM(BZ452:CK452)</f>
        <v>0</v>
      </c>
      <c r="DE452">
        <f t="shared" ref="DE452:DE499" si="82">SUM(CL452:CW452)</f>
        <v>0</v>
      </c>
      <c r="DF452">
        <f t="shared" si="74"/>
        <v>4807.09</v>
      </c>
    </row>
    <row r="453" spans="1:110"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f t="shared" si="75"/>
        <v>0</v>
      </c>
      <c r="CY453">
        <f t="shared" si="76"/>
        <v>0</v>
      </c>
      <c r="CZ453">
        <f t="shared" si="77"/>
        <v>0</v>
      </c>
      <c r="DA453">
        <f t="shared" si="78"/>
        <v>0</v>
      </c>
      <c r="DB453">
        <f t="shared" si="79"/>
        <v>0</v>
      </c>
      <c r="DC453">
        <f t="shared" si="80"/>
        <v>8749.15</v>
      </c>
      <c r="DD453">
        <f t="shared" si="81"/>
        <v>0</v>
      </c>
      <c r="DE453">
        <f t="shared" si="82"/>
        <v>0</v>
      </c>
      <c r="DF453">
        <f t="shared" si="74"/>
        <v>8749.15</v>
      </c>
    </row>
    <row r="454" spans="1:110"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f t="shared" si="75"/>
        <v>0</v>
      </c>
      <c r="CY454">
        <f t="shared" si="76"/>
        <v>9749.51</v>
      </c>
      <c r="CZ454">
        <f t="shared" si="77"/>
        <v>0</v>
      </c>
      <c r="DA454">
        <f t="shared" si="78"/>
        <v>0</v>
      </c>
      <c r="DB454">
        <f t="shared" si="79"/>
        <v>0</v>
      </c>
      <c r="DC454">
        <f t="shared" si="80"/>
        <v>0</v>
      </c>
      <c r="DD454">
        <f t="shared" si="81"/>
        <v>0</v>
      </c>
      <c r="DE454">
        <f t="shared" si="82"/>
        <v>0</v>
      </c>
      <c r="DF454">
        <f t="shared" si="74"/>
        <v>9749.51</v>
      </c>
    </row>
    <row r="455" spans="1:110"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f t="shared" si="75"/>
        <v>0</v>
      </c>
      <c r="CY455">
        <f t="shared" si="76"/>
        <v>0</v>
      </c>
      <c r="CZ455">
        <f t="shared" si="77"/>
        <v>0</v>
      </c>
      <c r="DA455">
        <f t="shared" si="78"/>
        <v>6947.73</v>
      </c>
      <c r="DB455">
        <f t="shared" si="79"/>
        <v>1648.54</v>
      </c>
      <c r="DC455">
        <f t="shared" si="80"/>
        <v>0</v>
      </c>
      <c r="DD455">
        <f t="shared" si="81"/>
        <v>0</v>
      </c>
      <c r="DE455">
        <f t="shared" si="82"/>
        <v>0</v>
      </c>
      <c r="DF455">
        <f t="shared" si="74"/>
        <v>8596.27</v>
      </c>
    </row>
    <row r="456" spans="1:110"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f t="shared" si="75"/>
        <v>0</v>
      </c>
      <c r="CY456">
        <f t="shared" si="76"/>
        <v>0</v>
      </c>
      <c r="CZ456">
        <f t="shared" si="77"/>
        <v>0</v>
      </c>
      <c r="DA456">
        <f t="shared" si="78"/>
        <v>0</v>
      </c>
      <c r="DB456">
        <f t="shared" si="79"/>
        <v>0</v>
      </c>
      <c r="DC456">
        <f t="shared" si="80"/>
        <v>0</v>
      </c>
      <c r="DD456">
        <f t="shared" si="81"/>
        <v>2038.96</v>
      </c>
      <c r="DE456">
        <f t="shared" si="82"/>
        <v>102.48</v>
      </c>
      <c r="DF456">
        <f t="shared" si="74"/>
        <v>2141.44</v>
      </c>
    </row>
    <row r="457" spans="1:110"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f t="shared" si="75"/>
        <v>8371.369999999999</v>
      </c>
      <c r="CY457">
        <f t="shared" si="76"/>
        <v>0</v>
      </c>
      <c r="CZ457">
        <f t="shared" si="77"/>
        <v>0</v>
      </c>
      <c r="DA457">
        <f t="shared" si="78"/>
        <v>0</v>
      </c>
      <c r="DB457">
        <f t="shared" si="79"/>
        <v>0</v>
      </c>
      <c r="DC457">
        <f t="shared" si="80"/>
        <v>0</v>
      </c>
      <c r="DD457">
        <f t="shared" si="81"/>
        <v>0</v>
      </c>
      <c r="DE457">
        <f t="shared" si="82"/>
        <v>0</v>
      </c>
      <c r="DF457">
        <f t="shared" si="74"/>
        <v>8371.369999999999</v>
      </c>
    </row>
    <row r="458" spans="1:110"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f t="shared" si="75"/>
        <v>0</v>
      </c>
      <c r="CY458">
        <f t="shared" si="76"/>
        <v>0</v>
      </c>
      <c r="CZ458">
        <f t="shared" si="77"/>
        <v>5781.18</v>
      </c>
      <c r="DA458">
        <f t="shared" si="78"/>
        <v>7065.72</v>
      </c>
      <c r="DB458">
        <f t="shared" si="79"/>
        <v>0</v>
      </c>
      <c r="DC458">
        <f t="shared" si="80"/>
        <v>0</v>
      </c>
      <c r="DD458">
        <f t="shared" si="81"/>
        <v>0</v>
      </c>
      <c r="DE458">
        <f t="shared" si="82"/>
        <v>0</v>
      </c>
      <c r="DF458">
        <f t="shared" si="74"/>
        <v>12846.9</v>
      </c>
    </row>
    <row r="459" spans="1:110"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f t="shared" si="75"/>
        <v>0</v>
      </c>
      <c r="CY459">
        <f t="shared" si="76"/>
        <v>0</v>
      </c>
      <c r="CZ459">
        <f t="shared" si="77"/>
        <v>0</v>
      </c>
      <c r="DA459">
        <f t="shared" si="78"/>
        <v>9420.9500000000007</v>
      </c>
      <c r="DB459">
        <f t="shared" si="79"/>
        <v>0</v>
      </c>
      <c r="DC459">
        <f t="shared" si="80"/>
        <v>0</v>
      </c>
      <c r="DD459">
        <f t="shared" si="81"/>
        <v>0</v>
      </c>
      <c r="DE459">
        <f t="shared" si="82"/>
        <v>0</v>
      </c>
      <c r="DF459">
        <f t="shared" si="74"/>
        <v>9420.9500000000007</v>
      </c>
    </row>
    <row r="460" spans="1:110"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f t="shared" si="75"/>
        <v>2296.21</v>
      </c>
      <c r="CY460">
        <f t="shared" si="76"/>
        <v>771.46</v>
      </c>
      <c r="CZ460">
        <f t="shared" si="77"/>
        <v>278.70999999999998</v>
      </c>
      <c r="DA460">
        <f t="shared" si="78"/>
        <v>0</v>
      </c>
      <c r="DB460">
        <f t="shared" si="79"/>
        <v>0</v>
      </c>
      <c r="DC460">
        <f t="shared" si="80"/>
        <v>0</v>
      </c>
      <c r="DD460">
        <f t="shared" si="81"/>
        <v>0</v>
      </c>
      <c r="DE460">
        <f t="shared" si="82"/>
        <v>0</v>
      </c>
      <c r="DF460">
        <f t="shared" si="74"/>
        <v>3346.38</v>
      </c>
    </row>
    <row r="461" spans="1:110"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f t="shared" si="75"/>
        <v>0</v>
      </c>
      <c r="CY461">
        <f t="shared" si="76"/>
        <v>0</v>
      </c>
      <c r="CZ461">
        <f t="shared" si="77"/>
        <v>1114.05</v>
      </c>
      <c r="DA461">
        <f t="shared" si="78"/>
        <v>10020.849999999999</v>
      </c>
      <c r="DB461">
        <f t="shared" si="79"/>
        <v>3209.02</v>
      </c>
      <c r="DC461">
        <f t="shared" si="80"/>
        <v>0</v>
      </c>
      <c r="DD461">
        <f t="shared" si="81"/>
        <v>0</v>
      </c>
      <c r="DE461">
        <f t="shared" si="82"/>
        <v>0</v>
      </c>
      <c r="DF461">
        <f t="shared" si="74"/>
        <v>14343.919999999996</v>
      </c>
    </row>
    <row r="462" spans="1:110"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f t="shared" si="75"/>
        <v>0</v>
      </c>
      <c r="CY462">
        <f t="shared" si="76"/>
        <v>0</v>
      </c>
      <c r="CZ462">
        <f t="shared" si="77"/>
        <v>792.14</v>
      </c>
      <c r="DA462">
        <f t="shared" si="78"/>
        <v>2873.5</v>
      </c>
      <c r="DB462">
        <f t="shared" si="79"/>
        <v>0</v>
      </c>
      <c r="DC462">
        <f t="shared" si="80"/>
        <v>0</v>
      </c>
      <c r="DD462">
        <f t="shared" si="81"/>
        <v>0</v>
      </c>
      <c r="DE462">
        <f t="shared" si="82"/>
        <v>0</v>
      </c>
      <c r="DF462">
        <f t="shared" si="74"/>
        <v>3665.64</v>
      </c>
    </row>
    <row r="463" spans="1:110"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f t="shared" si="75"/>
        <v>0</v>
      </c>
      <c r="CY463">
        <f t="shared" si="76"/>
        <v>0</v>
      </c>
      <c r="CZ463">
        <f t="shared" si="77"/>
        <v>0</v>
      </c>
      <c r="DA463">
        <f t="shared" si="78"/>
        <v>0</v>
      </c>
      <c r="DB463">
        <f t="shared" si="79"/>
        <v>5180</v>
      </c>
      <c r="DC463">
        <f t="shared" si="80"/>
        <v>0</v>
      </c>
      <c r="DD463">
        <f t="shared" si="81"/>
        <v>0</v>
      </c>
      <c r="DE463">
        <f t="shared" si="82"/>
        <v>0</v>
      </c>
      <c r="DF463">
        <f t="shared" si="74"/>
        <v>5180</v>
      </c>
    </row>
    <row r="464" spans="1:110"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f t="shared" si="75"/>
        <v>0</v>
      </c>
      <c r="CY464">
        <f t="shared" si="76"/>
        <v>0</v>
      </c>
      <c r="CZ464">
        <f t="shared" si="77"/>
        <v>0</v>
      </c>
      <c r="DA464">
        <f t="shared" si="78"/>
        <v>2868.36</v>
      </c>
      <c r="DB464">
        <f t="shared" si="79"/>
        <v>0</v>
      </c>
      <c r="DC464">
        <f t="shared" si="80"/>
        <v>0</v>
      </c>
      <c r="DD464">
        <f t="shared" si="81"/>
        <v>0</v>
      </c>
      <c r="DE464">
        <f t="shared" si="82"/>
        <v>0</v>
      </c>
      <c r="DF464">
        <f t="shared" si="74"/>
        <v>2868.36</v>
      </c>
    </row>
    <row r="465" spans="1:110"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f t="shared" si="75"/>
        <v>0</v>
      </c>
      <c r="CY465">
        <f t="shared" si="76"/>
        <v>0</v>
      </c>
      <c r="CZ465">
        <f t="shared" si="77"/>
        <v>0</v>
      </c>
      <c r="DA465">
        <f t="shared" si="78"/>
        <v>2737.66</v>
      </c>
      <c r="DB465">
        <f t="shared" si="79"/>
        <v>12859.279999999999</v>
      </c>
      <c r="DC465">
        <f t="shared" si="80"/>
        <v>5483.3600000000006</v>
      </c>
      <c r="DD465">
        <f t="shared" si="81"/>
        <v>0</v>
      </c>
      <c r="DE465">
        <f t="shared" si="82"/>
        <v>0</v>
      </c>
      <c r="DF465">
        <f t="shared" si="74"/>
        <v>21080.3</v>
      </c>
    </row>
    <row r="466" spans="1:110"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f t="shared" si="75"/>
        <v>0</v>
      </c>
      <c r="CY466">
        <f t="shared" si="76"/>
        <v>0</v>
      </c>
      <c r="CZ466">
        <f t="shared" si="77"/>
        <v>0</v>
      </c>
      <c r="DA466">
        <f t="shared" si="78"/>
        <v>0</v>
      </c>
      <c r="DB466">
        <f t="shared" si="79"/>
        <v>3414.69</v>
      </c>
      <c r="DC466">
        <f t="shared" si="80"/>
        <v>0</v>
      </c>
      <c r="DD466">
        <f t="shared" si="81"/>
        <v>0</v>
      </c>
      <c r="DE466">
        <f t="shared" si="82"/>
        <v>0</v>
      </c>
      <c r="DF466">
        <f t="shared" si="74"/>
        <v>3414.69</v>
      </c>
    </row>
    <row r="467" spans="1:110"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f t="shared" si="75"/>
        <v>0</v>
      </c>
      <c r="CY467">
        <f t="shared" si="76"/>
        <v>0</v>
      </c>
      <c r="CZ467">
        <f t="shared" si="77"/>
        <v>0</v>
      </c>
      <c r="DA467">
        <f t="shared" si="78"/>
        <v>0</v>
      </c>
      <c r="DB467">
        <f t="shared" si="79"/>
        <v>0</v>
      </c>
      <c r="DC467">
        <f t="shared" si="80"/>
        <v>0</v>
      </c>
      <c r="DD467">
        <f t="shared" si="81"/>
        <v>1871.85</v>
      </c>
      <c r="DE467">
        <f t="shared" si="82"/>
        <v>1785.89</v>
      </c>
      <c r="DF467">
        <f t="shared" si="74"/>
        <v>3657.7400000000002</v>
      </c>
    </row>
    <row r="468" spans="1:110"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f t="shared" si="75"/>
        <v>0</v>
      </c>
      <c r="CY468">
        <f t="shared" si="76"/>
        <v>4320.9400000000005</v>
      </c>
      <c r="CZ468">
        <f t="shared" si="77"/>
        <v>0</v>
      </c>
      <c r="DA468">
        <f t="shared" si="78"/>
        <v>0</v>
      </c>
      <c r="DB468">
        <f t="shared" si="79"/>
        <v>0</v>
      </c>
      <c r="DC468">
        <f t="shared" si="80"/>
        <v>0</v>
      </c>
      <c r="DD468">
        <f t="shared" si="81"/>
        <v>0</v>
      </c>
      <c r="DE468">
        <f t="shared" si="82"/>
        <v>0</v>
      </c>
      <c r="DF468">
        <f t="shared" si="74"/>
        <v>4320.9400000000005</v>
      </c>
    </row>
    <row r="469" spans="1:110"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f t="shared" si="75"/>
        <v>0</v>
      </c>
      <c r="CY469">
        <f t="shared" si="76"/>
        <v>0</v>
      </c>
      <c r="CZ469">
        <f t="shared" si="77"/>
        <v>0</v>
      </c>
      <c r="DA469">
        <f t="shared" si="78"/>
        <v>1950.4</v>
      </c>
      <c r="DB469">
        <f t="shared" si="79"/>
        <v>7559.67</v>
      </c>
      <c r="DC469">
        <f t="shared" si="80"/>
        <v>959.94</v>
      </c>
      <c r="DD469">
        <f t="shared" si="81"/>
        <v>0</v>
      </c>
      <c r="DE469">
        <f t="shared" si="82"/>
        <v>0</v>
      </c>
      <c r="DF469">
        <f t="shared" si="74"/>
        <v>10470.01</v>
      </c>
    </row>
    <row r="470" spans="1:110"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f t="shared" si="75"/>
        <v>0</v>
      </c>
      <c r="CY470">
        <f t="shared" si="76"/>
        <v>7711</v>
      </c>
      <c r="CZ470">
        <f t="shared" si="77"/>
        <v>7373.5199999999995</v>
      </c>
      <c r="DA470">
        <f t="shared" si="78"/>
        <v>0</v>
      </c>
      <c r="DB470">
        <f t="shared" si="79"/>
        <v>0</v>
      </c>
      <c r="DC470">
        <f t="shared" si="80"/>
        <v>0</v>
      </c>
      <c r="DD470">
        <f t="shared" si="81"/>
        <v>0</v>
      </c>
      <c r="DE470">
        <f t="shared" si="82"/>
        <v>0</v>
      </c>
      <c r="DF470">
        <f t="shared" si="74"/>
        <v>15084.52</v>
      </c>
    </row>
    <row r="471" spans="1:110"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f t="shared" si="75"/>
        <v>0</v>
      </c>
      <c r="CY471">
        <f t="shared" si="76"/>
        <v>529.81999999999994</v>
      </c>
      <c r="CZ471">
        <f t="shared" si="77"/>
        <v>540.63</v>
      </c>
      <c r="DA471">
        <f t="shared" si="78"/>
        <v>0</v>
      </c>
      <c r="DB471">
        <f t="shared" si="79"/>
        <v>0</v>
      </c>
      <c r="DC471">
        <f t="shared" si="80"/>
        <v>0</v>
      </c>
      <c r="DD471">
        <f t="shared" si="81"/>
        <v>0</v>
      </c>
      <c r="DE471">
        <f t="shared" si="82"/>
        <v>0</v>
      </c>
      <c r="DF471">
        <f t="shared" si="74"/>
        <v>1070.4499999999998</v>
      </c>
    </row>
    <row r="472" spans="1:110"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f t="shared" si="75"/>
        <v>0</v>
      </c>
      <c r="CY472">
        <f t="shared" si="76"/>
        <v>0</v>
      </c>
      <c r="CZ472">
        <f t="shared" si="77"/>
        <v>0</v>
      </c>
      <c r="DA472">
        <f t="shared" si="78"/>
        <v>0</v>
      </c>
      <c r="DB472">
        <f t="shared" si="79"/>
        <v>0</v>
      </c>
      <c r="DC472">
        <f t="shared" si="80"/>
        <v>0</v>
      </c>
      <c r="DD472">
        <f t="shared" si="81"/>
        <v>0</v>
      </c>
      <c r="DE472">
        <f t="shared" si="82"/>
        <v>354.83</v>
      </c>
      <c r="DF472">
        <f t="shared" si="74"/>
        <v>354.83</v>
      </c>
    </row>
    <row r="473" spans="1:110"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f t="shared" si="75"/>
        <v>0</v>
      </c>
      <c r="CY473">
        <f t="shared" si="76"/>
        <v>0</v>
      </c>
      <c r="CZ473">
        <f t="shared" si="77"/>
        <v>0</v>
      </c>
      <c r="DA473">
        <f t="shared" si="78"/>
        <v>0</v>
      </c>
      <c r="DB473">
        <f t="shared" si="79"/>
        <v>1433.79</v>
      </c>
      <c r="DC473">
        <f t="shared" si="80"/>
        <v>0</v>
      </c>
      <c r="DD473">
        <f t="shared" si="81"/>
        <v>0</v>
      </c>
      <c r="DE473">
        <f t="shared" si="82"/>
        <v>0</v>
      </c>
      <c r="DF473">
        <f t="shared" si="74"/>
        <v>1433.79</v>
      </c>
    </row>
    <row r="474" spans="1:110"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f t="shared" si="75"/>
        <v>0</v>
      </c>
      <c r="CY474">
        <f t="shared" si="76"/>
        <v>0</v>
      </c>
      <c r="CZ474">
        <f t="shared" si="77"/>
        <v>0</v>
      </c>
      <c r="DA474">
        <f t="shared" si="78"/>
        <v>0</v>
      </c>
      <c r="DB474">
        <f t="shared" si="79"/>
        <v>7728.5</v>
      </c>
      <c r="DC474">
        <f t="shared" si="80"/>
        <v>4654.04</v>
      </c>
      <c r="DD474">
        <f t="shared" si="81"/>
        <v>472.26</v>
      </c>
      <c r="DE474">
        <f t="shared" si="82"/>
        <v>0</v>
      </c>
      <c r="DF474">
        <f t="shared" si="74"/>
        <v>12854.8</v>
      </c>
    </row>
    <row r="475" spans="1:110"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f t="shared" si="75"/>
        <v>0</v>
      </c>
      <c r="CY475">
        <f t="shared" si="76"/>
        <v>0</v>
      </c>
      <c r="CZ475">
        <f t="shared" si="77"/>
        <v>0</v>
      </c>
      <c r="DA475">
        <f t="shared" si="78"/>
        <v>0</v>
      </c>
      <c r="DB475">
        <f t="shared" si="79"/>
        <v>1186.21</v>
      </c>
      <c r="DC475">
        <f t="shared" si="80"/>
        <v>1608.44</v>
      </c>
      <c r="DD475">
        <f t="shared" si="81"/>
        <v>0</v>
      </c>
      <c r="DE475">
        <f t="shared" si="82"/>
        <v>0</v>
      </c>
      <c r="DF475">
        <f t="shared" si="74"/>
        <v>2794.6500000000005</v>
      </c>
    </row>
    <row r="476" spans="1:110"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f t="shared" si="75"/>
        <v>0</v>
      </c>
      <c r="CY476">
        <f t="shared" si="76"/>
        <v>0</v>
      </c>
      <c r="CZ476">
        <f t="shared" si="77"/>
        <v>0</v>
      </c>
      <c r="DA476">
        <f t="shared" si="78"/>
        <v>0</v>
      </c>
      <c r="DB476">
        <f t="shared" si="79"/>
        <v>14566.35</v>
      </c>
      <c r="DC476">
        <f t="shared" si="80"/>
        <v>2163.35</v>
      </c>
      <c r="DD476">
        <f t="shared" si="81"/>
        <v>0</v>
      </c>
      <c r="DE476">
        <f t="shared" si="82"/>
        <v>0</v>
      </c>
      <c r="DF476">
        <f t="shared" si="74"/>
        <v>16729.7</v>
      </c>
    </row>
    <row r="477" spans="1:110"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f t="shared" si="75"/>
        <v>0</v>
      </c>
      <c r="CY477">
        <f t="shared" si="76"/>
        <v>0</v>
      </c>
      <c r="CZ477">
        <f t="shared" si="77"/>
        <v>0</v>
      </c>
      <c r="DA477">
        <f t="shared" si="78"/>
        <v>0</v>
      </c>
      <c r="DB477">
        <f t="shared" si="79"/>
        <v>0</v>
      </c>
      <c r="DC477">
        <f t="shared" si="80"/>
        <v>0</v>
      </c>
      <c r="DD477">
        <f t="shared" si="81"/>
        <v>0</v>
      </c>
      <c r="DE477">
        <f t="shared" si="82"/>
        <v>0</v>
      </c>
      <c r="DF477">
        <f t="shared" si="74"/>
        <v>0</v>
      </c>
    </row>
    <row r="478" spans="1:110"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f t="shared" si="75"/>
        <v>0</v>
      </c>
      <c r="CY478">
        <f t="shared" si="76"/>
        <v>0</v>
      </c>
      <c r="CZ478">
        <f t="shared" si="77"/>
        <v>0</v>
      </c>
      <c r="DA478">
        <f t="shared" si="78"/>
        <v>0</v>
      </c>
      <c r="DB478">
        <f t="shared" si="79"/>
        <v>0</v>
      </c>
      <c r="DC478">
        <f t="shared" si="80"/>
        <v>5132.1899999999996</v>
      </c>
      <c r="DD478">
        <f t="shared" si="81"/>
        <v>0</v>
      </c>
      <c r="DE478">
        <f t="shared" si="82"/>
        <v>0</v>
      </c>
      <c r="DF478">
        <f t="shared" si="74"/>
        <v>5132.1899999999996</v>
      </c>
    </row>
    <row r="479" spans="1:110"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f t="shared" si="75"/>
        <v>0</v>
      </c>
      <c r="CY479">
        <f t="shared" si="76"/>
        <v>0</v>
      </c>
      <c r="CZ479">
        <f t="shared" si="77"/>
        <v>0</v>
      </c>
      <c r="DA479">
        <f t="shared" si="78"/>
        <v>0</v>
      </c>
      <c r="DB479">
        <f t="shared" si="79"/>
        <v>0</v>
      </c>
      <c r="DC479">
        <f t="shared" si="80"/>
        <v>0</v>
      </c>
      <c r="DD479">
        <f t="shared" si="81"/>
        <v>1052.95</v>
      </c>
      <c r="DE479">
        <f t="shared" si="82"/>
        <v>1002.89</v>
      </c>
      <c r="DF479">
        <f t="shared" si="74"/>
        <v>2055.84</v>
      </c>
    </row>
    <row r="480" spans="1:110"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f t="shared" si="75"/>
        <v>0</v>
      </c>
      <c r="CY480">
        <f t="shared" si="76"/>
        <v>0</v>
      </c>
      <c r="CZ480">
        <f t="shared" si="77"/>
        <v>0</v>
      </c>
      <c r="DA480">
        <f t="shared" si="78"/>
        <v>0</v>
      </c>
      <c r="DB480">
        <f t="shared" si="79"/>
        <v>0</v>
      </c>
      <c r="DC480">
        <f t="shared" si="80"/>
        <v>0</v>
      </c>
      <c r="DD480">
        <f t="shared" si="81"/>
        <v>7536.83</v>
      </c>
      <c r="DE480">
        <f t="shared" si="82"/>
        <v>2482.1</v>
      </c>
      <c r="DF480">
        <f t="shared" si="74"/>
        <v>10018.93</v>
      </c>
    </row>
    <row r="481" spans="1:110"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f t="shared" si="75"/>
        <v>0</v>
      </c>
      <c r="CY481">
        <f t="shared" si="76"/>
        <v>0</v>
      </c>
      <c r="CZ481">
        <f t="shared" si="77"/>
        <v>0</v>
      </c>
      <c r="DA481">
        <f t="shared" si="78"/>
        <v>1721.76</v>
      </c>
      <c r="DB481">
        <f t="shared" si="79"/>
        <v>0</v>
      </c>
      <c r="DC481">
        <f t="shared" si="80"/>
        <v>0</v>
      </c>
      <c r="DD481">
        <f t="shared" si="81"/>
        <v>0</v>
      </c>
      <c r="DE481">
        <f t="shared" si="82"/>
        <v>0</v>
      </c>
      <c r="DF481">
        <f t="shared" si="74"/>
        <v>1721.76</v>
      </c>
    </row>
    <row r="482" spans="1:110"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f t="shared" si="75"/>
        <v>0</v>
      </c>
      <c r="CY482">
        <f t="shared" si="76"/>
        <v>0</v>
      </c>
      <c r="CZ482">
        <f t="shared" si="77"/>
        <v>0</v>
      </c>
      <c r="DA482">
        <f t="shared" si="78"/>
        <v>0</v>
      </c>
      <c r="DB482">
        <f t="shared" si="79"/>
        <v>7906.2</v>
      </c>
      <c r="DC482">
        <f t="shared" si="80"/>
        <v>830.27</v>
      </c>
      <c r="DD482">
        <f t="shared" si="81"/>
        <v>0</v>
      </c>
      <c r="DE482">
        <f t="shared" si="82"/>
        <v>0</v>
      </c>
      <c r="DF482">
        <f t="shared" si="74"/>
        <v>8736.4699999999993</v>
      </c>
    </row>
    <row r="483" spans="1:110"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f t="shared" si="75"/>
        <v>0</v>
      </c>
      <c r="CY483">
        <f t="shared" si="76"/>
        <v>0</v>
      </c>
      <c r="CZ483">
        <f t="shared" si="77"/>
        <v>0</v>
      </c>
      <c r="DA483">
        <f t="shared" si="78"/>
        <v>0</v>
      </c>
      <c r="DB483">
        <f t="shared" si="79"/>
        <v>0</v>
      </c>
      <c r="DC483">
        <f t="shared" si="80"/>
        <v>0</v>
      </c>
      <c r="DD483">
        <f t="shared" si="81"/>
        <v>0</v>
      </c>
      <c r="DE483">
        <f t="shared" si="82"/>
        <v>0</v>
      </c>
      <c r="DF483">
        <f t="shared" si="74"/>
        <v>0</v>
      </c>
    </row>
    <row r="484" spans="1:110"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f t="shared" si="75"/>
        <v>0</v>
      </c>
      <c r="CY484">
        <f t="shared" si="76"/>
        <v>0</v>
      </c>
      <c r="CZ484">
        <f t="shared" si="77"/>
        <v>0</v>
      </c>
      <c r="DA484">
        <f t="shared" si="78"/>
        <v>0</v>
      </c>
      <c r="DB484">
        <f t="shared" si="79"/>
        <v>0</v>
      </c>
      <c r="DC484">
        <f t="shared" si="80"/>
        <v>2917.19</v>
      </c>
      <c r="DD484">
        <f t="shared" si="81"/>
        <v>2187.0300000000002</v>
      </c>
      <c r="DE484">
        <f t="shared" si="82"/>
        <v>0</v>
      </c>
      <c r="DF484">
        <f t="shared" si="74"/>
        <v>5104.22</v>
      </c>
    </row>
    <row r="485" spans="1:110"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f t="shared" si="75"/>
        <v>6676.58</v>
      </c>
      <c r="CY485">
        <f t="shared" si="76"/>
        <v>4824.34</v>
      </c>
      <c r="CZ485">
        <f t="shared" si="77"/>
        <v>0</v>
      </c>
      <c r="DA485">
        <f t="shared" si="78"/>
        <v>0</v>
      </c>
      <c r="DB485">
        <f t="shared" si="79"/>
        <v>0</v>
      </c>
      <c r="DC485">
        <f t="shared" si="80"/>
        <v>0</v>
      </c>
      <c r="DD485">
        <f t="shared" si="81"/>
        <v>0</v>
      </c>
      <c r="DE485">
        <f t="shared" si="82"/>
        <v>0</v>
      </c>
      <c r="DF485">
        <f t="shared" si="74"/>
        <v>11500.919999999998</v>
      </c>
    </row>
    <row r="486" spans="1:110"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f t="shared" si="75"/>
        <v>0</v>
      </c>
      <c r="CY486">
        <f t="shared" si="76"/>
        <v>0</v>
      </c>
      <c r="CZ486">
        <f t="shared" si="77"/>
        <v>0</v>
      </c>
      <c r="DA486">
        <f t="shared" si="78"/>
        <v>0</v>
      </c>
      <c r="DB486">
        <f t="shared" si="79"/>
        <v>0</v>
      </c>
      <c r="DC486">
        <f t="shared" si="80"/>
        <v>7769.55</v>
      </c>
      <c r="DD486">
        <f t="shared" si="81"/>
        <v>0</v>
      </c>
      <c r="DE486">
        <f t="shared" si="82"/>
        <v>0</v>
      </c>
      <c r="DF486">
        <f t="shared" si="74"/>
        <v>7769.55</v>
      </c>
    </row>
    <row r="487" spans="1:110"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f t="shared" si="75"/>
        <v>0</v>
      </c>
      <c r="CY487">
        <f t="shared" si="76"/>
        <v>2755.71</v>
      </c>
      <c r="CZ487">
        <f t="shared" si="77"/>
        <v>314.54000000000002</v>
      </c>
      <c r="DA487">
        <f t="shared" si="78"/>
        <v>0</v>
      </c>
      <c r="DB487">
        <f t="shared" si="79"/>
        <v>0</v>
      </c>
      <c r="DC487">
        <f t="shared" si="80"/>
        <v>0</v>
      </c>
      <c r="DD487">
        <f t="shared" si="81"/>
        <v>0</v>
      </c>
      <c r="DE487">
        <f t="shared" si="82"/>
        <v>0</v>
      </c>
      <c r="DF487">
        <f t="shared" si="74"/>
        <v>3070.25</v>
      </c>
    </row>
    <row r="488" spans="1:110"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f t="shared" si="75"/>
        <v>0</v>
      </c>
      <c r="CY488">
        <f t="shared" si="76"/>
        <v>0</v>
      </c>
      <c r="CZ488">
        <f t="shared" si="77"/>
        <v>4811.09</v>
      </c>
      <c r="DA488">
        <f t="shared" si="78"/>
        <v>0</v>
      </c>
      <c r="DB488">
        <f t="shared" si="79"/>
        <v>0</v>
      </c>
      <c r="DC488">
        <f t="shared" si="80"/>
        <v>0</v>
      </c>
      <c r="DD488">
        <f t="shared" si="81"/>
        <v>0</v>
      </c>
      <c r="DE488">
        <f t="shared" si="82"/>
        <v>0</v>
      </c>
      <c r="DF488">
        <f t="shared" si="74"/>
        <v>4811.09</v>
      </c>
    </row>
    <row r="489" spans="1:110"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f t="shared" si="75"/>
        <v>0</v>
      </c>
      <c r="CY489">
        <f t="shared" si="76"/>
        <v>0</v>
      </c>
      <c r="CZ489">
        <f t="shared" si="77"/>
        <v>0</v>
      </c>
      <c r="DA489">
        <f t="shared" si="78"/>
        <v>0</v>
      </c>
      <c r="DB489">
        <f t="shared" si="79"/>
        <v>0</v>
      </c>
      <c r="DC489">
        <f t="shared" si="80"/>
        <v>0</v>
      </c>
      <c r="DD489">
        <f t="shared" si="81"/>
        <v>0</v>
      </c>
      <c r="DE489">
        <f t="shared" si="82"/>
        <v>6063.22</v>
      </c>
      <c r="DF489">
        <f t="shared" si="74"/>
        <v>6063.22</v>
      </c>
    </row>
    <row r="490" spans="1:110"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f t="shared" si="75"/>
        <v>0</v>
      </c>
      <c r="CY490">
        <f t="shared" si="76"/>
        <v>13428.560000000001</v>
      </c>
      <c r="CZ490">
        <f t="shared" si="77"/>
        <v>0</v>
      </c>
      <c r="DA490">
        <f t="shared" si="78"/>
        <v>0</v>
      </c>
      <c r="DB490">
        <f t="shared" si="79"/>
        <v>0</v>
      </c>
      <c r="DC490">
        <f t="shared" si="80"/>
        <v>0</v>
      </c>
      <c r="DD490">
        <f t="shared" si="81"/>
        <v>0</v>
      </c>
      <c r="DE490">
        <f t="shared" si="82"/>
        <v>0</v>
      </c>
      <c r="DF490">
        <f t="shared" si="74"/>
        <v>13428.560000000001</v>
      </c>
    </row>
    <row r="491" spans="1:110"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f t="shared" si="75"/>
        <v>0</v>
      </c>
      <c r="CY491">
        <f t="shared" si="76"/>
        <v>0</v>
      </c>
      <c r="CZ491">
        <f t="shared" si="77"/>
        <v>0</v>
      </c>
      <c r="DA491">
        <f t="shared" si="78"/>
        <v>0</v>
      </c>
      <c r="DB491">
        <f t="shared" si="79"/>
        <v>3009.28</v>
      </c>
      <c r="DC491">
        <f t="shared" si="80"/>
        <v>0</v>
      </c>
      <c r="DD491">
        <f t="shared" si="81"/>
        <v>0</v>
      </c>
      <c r="DE491">
        <f t="shared" si="82"/>
        <v>0</v>
      </c>
      <c r="DF491">
        <f t="shared" si="74"/>
        <v>3009.28</v>
      </c>
    </row>
    <row r="492" spans="1:110"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f t="shared" si="75"/>
        <v>0</v>
      </c>
      <c r="CY492">
        <f t="shared" si="76"/>
        <v>0</v>
      </c>
      <c r="CZ492">
        <f t="shared" si="77"/>
        <v>0</v>
      </c>
      <c r="DA492">
        <f t="shared" si="78"/>
        <v>0</v>
      </c>
      <c r="DB492">
        <f t="shared" si="79"/>
        <v>0</v>
      </c>
      <c r="DC492">
        <f t="shared" si="80"/>
        <v>0</v>
      </c>
      <c r="DD492">
        <f t="shared" si="81"/>
        <v>506.48</v>
      </c>
      <c r="DE492">
        <f t="shared" si="82"/>
        <v>2210.23</v>
      </c>
      <c r="DF492">
        <f t="shared" si="74"/>
        <v>2716.71</v>
      </c>
    </row>
    <row r="493" spans="1:110"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f t="shared" si="75"/>
        <v>0</v>
      </c>
      <c r="CY493">
        <f t="shared" si="76"/>
        <v>0</v>
      </c>
      <c r="CZ493">
        <f t="shared" si="77"/>
        <v>0</v>
      </c>
      <c r="DA493">
        <f t="shared" si="78"/>
        <v>0</v>
      </c>
      <c r="DB493">
        <f t="shared" si="79"/>
        <v>0</v>
      </c>
      <c r="DC493">
        <f t="shared" si="80"/>
        <v>0</v>
      </c>
      <c r="DD493">
        <f t="shared" si="81"/>
        <v>0</v>
      </c>
      <c r="DE493">
        <f t="shared" si="82"/>
        <v>1985.59</v>
      </c>
      <c r="DF493">
        <f t="shared" si="74"/>
        <v>1985.59</v>
      </c>
    </row>
    <row r="494" spans="1:110"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f t="shared" si="75"/>
        <v>0</v>
      </c>
      <c r="CY494">
        <f t="shared" si="76"/>
        <v>0</v>
      </c>
      <c r="CZ494">
        <f t="shared" si="77"/>
        <v>0</v>
      </c>
      <c r="DA494">
        <f t="shared" si="78"/>
        <v>0</v>
      </c>
      <c r="DB494">
        <f t="shared" si="79"/>
        <v>0</v>
      </c>
      <c r="DC494">
        <f t="shared" si="80"/>
        <v>4300.25</v>
      </c>
      <c r="DD494">
        <f t="shared" si="81"/>
        <v>2861.7300000000005</v>
      </c>
      <c r="DE494">
        <f t="shared" si="82"/>
        <v>0</v>
      </c>
      <c r="DF494">
        <f t="shared" si="74"/>
        <v>7161.9800000000005</v>
      </c>
    </row>
    <row r="495" spans="1:110"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f t="shared" si="75"/>
        <v>0</v>
      </c>
      <c r="CY495">
        <f t="shared" si="76"/>
        <v>0</v>
      </c>
      <c r="CZ495">
        <f t="shared" si="77"/>
        <v>0</v>
      </c>
      <c r="DA495">
        <f t="shared" si="78"/>
        <v>2750.43</v>
      </c>
      <c r="DB495">
        <f t="shared" si="79"/>
        <v>0</v>
      </c>
      <c r="DC495">
        <f t="shared" si="80"/>
        <v>0</v>
      </c>
      <c r="DD495">
        <f t="shared" si="81"/>
        <v>0</v>
      </c>
      <c r="DE495">
        <f t="shared" si="82"/>
        <v>0</v>
      </c>
      <c r="DF495">
        <f t="shared" si="74"/>
        <v>2750.43</v>
      </c>
    </row>
    <row r="496" spans="1:110"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f t="shared" si="75"/>
        <v>0</v>
      </c>
      <c r="CY496">
        <f t="shared" si="76"/>
        <v>0</v>
      </c>
      <c r="CZ496">
        <f t="shared" si="77"/>
        <v>0</v>
      </c>
      <c r="DA496">
        <f t="shared" si="78"/>
        <v>0</v>
      </c>
      <c r="DB496">
        <f t="shared" si="79"/>
        <v>0</v>
      </c>
      <c r="DC496">
        <f t="shared" si="80"/>
        <v>570.62</v>
      </c>
      <c r="DD496">
        <f t="shared" si="81"/>
        <v>0</v>
      </c>
      <c r="DE496">
        <f t="shared" si="82"/>
        <v>0</v>
      </c>
      <c r="DF496">
        <f t="shared" si="74"/>
        <v>570.62</v>
      </c>
    </row>
    <row r="497" spans="1:110"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f t="shared" si="75"/>
        <v>0</v>
      </c>
      <c r="CY497">
        <f t="shared" si="76"/>
        <v>0</v>
      </c>
      <c r="CZ497">
        <f t="shared" si="77"/>
        <v>4231.37</v>
      </c>
      <c r="DA497">
        <f t="shared" si="78"/>
        <v>0</v>
      </c>
      <c r="DB497">
        <f t="shared" si="79"/>
        <v>0</v>
      </c>
      <c r="DC497">
        <f t="shared" si="80"/>
        <v>0</v>
      </c>
      <c r="DD497">
        <f t="shared" si="81"/>
        <v>0</v>
      </c>
      <c r="DE497">
        <f t="shared" si="82"/>
        <v>0</v>
      </c>
      <c r="DF497">
        <f t="shared" si="74"/>
        <v>4231.37</v>
      </c>
    </row>
    <row r="498" spans="1:110"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f t="shared" si="75"/>
        <v>684.2700000000001</v>
      </c>
      <c r="CY498">
        <f t="shared" si="76"/>
        <v>1433.1000000000001</v>
      </c>
      <c r="CZ498">
        <f t="shared" si="77"/>
        <v>434.44</v>
      </c>
      <c r="DA498">
        <f t="shared" si="78"/>
        <v>0</v>
      </c>
      <c r="DB498">
        <f t="shared" si="79"/>
        <v>0</v>
      </c>
      <c r="DC498">
        <f t="shared" si="80"/>
        <v>0</v>
      </c>
      <c r="DD498">
        <f t="shared" si="81"/>
        <v>0</v>
      </c>
      <c r="DE498">
        <f t="shared" si="82"/>
        <v>0</v>
      </c>
      <c r="DF498">
        <f t="shared" si="74"/>
        <v>2551.81</v>
      </c>
    </row>
    <row r="499" spans="1:110"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f t="shared" si="75"/>
        <v>0</v>
      </c>
      <c r="CY499">
        <f t="shared" si="76"/>
        <v>4744.8900000000003</v>
      </c>
      <c r="CZ499">
        <f t="shared" si="77"/>
        <v>0</v>
      </c>
      <c r="DA499">
        <f t="shared" si="78"/>
        <v>0</v>
      </c>
      <c r="DB499">
        <f t="shared" si="79"/>
        <v>0</v>
      </c>
      <c r="DC499">
        <f t="shared" si="80"/>
        <v>0</v>
      </c>
      <c r="DD499">
        <f t="shared" si="81"/>
        <v>0</v>
      </c>
      <c r="DE499">
        <f t="shared" si="82"/>
        <v>0</v>
      </c>
      <c r="DF499">
        <f t="shared" si="74"/>
        <v>4744.8900000000003</v>
      </c>
    </row>
  </sheetData>
  <mergeCells count="14">
    <mergeCell ref="F1:Q1"/>
    <mergeCell ref="A1:A2"/>
    <mergeCell ref="B1:B2"/>
    <mergeCell ref="C1:C2"/>
    <mergeCell ref="D1:D2"/>
    <mergeCell ref="E1:E2"/>
    <mergeCell ref="CL1:CW1"/>
    <mergeCell ref="DF1:DF2"/>
    <mergeCell ref="R1:AC1"/>
    <mergeCell ref="AD1:AO1"/>
    <mergeCell ref="AP1:BA1"/>
    <mergeCell ref="BB1:BM1"/>
    <mergeCell ref="BN1:BY1"/>
    <mergeCell ref="BZ1:CK1"/>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3:O17"/>
  <sheetViews>
    <sheetView tabSelected="1" workbookViewId="0">
      <selection activeCell="H22" sqref="H22"/>
    </sheetView>
  </sheetViews>
  <sheetFormatPr defaultRowHeight="14.25" x14ac:dyDescent="0.45"/>
  <cols>
    <col min="3" max="3" width="12.59765625" bestFit="1" customWidth="1"/>
    <col min="8" max="8" width="9.73046875" bestFit="1" customWidth="1"/>
  </cols>
  <sheetData>
    <row r="3" spans="2:15" ht="14.65" thickBot="1" x14ac:dyDescent="0.5">
      <c r="B3" s="109" t="s">
        <v>590</v>
      </c>
      <c r="C3" s="109"/>
    </row>
    <row r="4" spans="2:15" x14ac:dyDescent="0.45">
      <c r="F4" s="92"/>
      <c r="G4" s="93"/>
      <c r="H4" s="112" t="s">
        <v>586</v>
      </c>
      <c r="I4" s="112"/>
      <c r="J4" s="112"/>
      <c r="K4" s="112"/>
      <c r="L4" s="112"/>
      <c r="M4" s="112"/>
      <c r="N4" s="112"/>
      <c r="O4" s="113"/>
    </row>
    <row r="5" spans="2:15" x14ac:dyDescent="0.45">
      <c r="B5" s="88" t="s">
        <v>589</v>
      </c>
      <c r="C5" s="89" t="s">
        <v>13</v>
      </c>
      <c r="F5" s="94"/>
      <c r="H5" s="91" t="str">
        <f>"0-12"</f>
        <v>0-12</v>
      </c>
      <c r="I5" s="90" t="str">
        <f>"12-24"</f>
        <v>12-24</v>
      </c>
      <c r="J5" s="91" t="str">
        <f>"24-36"</f>
        <v>24-36</v>
      </c>
      <c r="K5" s="91" t="str">
        <f>"36-48"</f>
        <v>36-48</v>
      </c>
      <c r="L5" s="91" t="str">
        <f>"48-60"</f>
        <v>48-60</v>
      </c>
      <c r="M5" s="91" t="str">
        <f>"60-72"</f>
        <v>60-72</v>
      </c>
      <c r="N5" s="91" t="str">
        <f>"72-84"</f>
        <v>72-84</v>
      </c>
      <c r="O5" s="95" t="str">
        <f>"84-96"</f>
        <v>84-96</v>
      </c>
    </row>
    <row r="6" spans="2:15" x14ac:dyDescent="0.45">
      <c r="F6" s="94"/>
      <c r="G6" s="98">
        <v>2018</v>
      </c>
      <c r="H6" s="99" cm="1">
        <f t="array" ref="H6">SUM(_xlfn._xlws.FILTER(INDEX(yearly_total_payments,_xlfn.SEQUENCE(ROWS(yearly_total_payments)),MATCH(_xlfn.SEQUENCE(1,MATCH(H$5,$H$5:$O$5),$G6),$G$6:$G$13,0)),(claim_type=$C$5)*(accident_year=$G6)*(total_claim_payment&lt;250000),""))</f>
        <v>18750.690000000002</v>
      </c>
      <c r="I6" s="99" cm="1">
        <f t="array" ref="I6">SUM(_xlfn._xlws.FILTER(INDEX(yearly_total_payments,_xlfn.SEQUENCE(ROWS(yearly_total_payments)),MATCH(_xlfn.SEQUENCE(1,MATCH(I$5,$H$5:$O$5),$G6),$G$6:$G$13,0)),(claim_type=$C$5)*(accident_year=$G6)*(total_claim_payment&lt;250000),""))</f>
        <v>35749.99</v>
      </c>
      <c r="J6" s="99" cm="1">
        <f t="array" ref="J6">SUM(_xlfn._xlws.FILTER(INDEX(yearly_total_payments,_xlfn.SEQUENCE(ROWS(yearly_total_payments)),MATCH(_xlfn.SEQUENCE(1,MATCH(J$5,$H$5:$O$5),$G6),$G$6:$G$13,0)),(claim_type=$C$5)*(accident_year=$G6)*(total_claim_payment&lt;250000),""))</f>
        <v>35749.99</v>
      </c>
      <c r="K6" s="99" cm="1">
        <f t="array" ref="K6">SUM(_xlfn._xlws.FILTER(INDEX(yearly_total_payments,_xlfn.SEQUENCE(ROWS(yearly_total_payments)),MATCH(_xlfn.SEQUENCE(1,MATCH(K$5,$H$5:$O$5),$G6),$G$6:$G$13,0)),(claim_type=$C$5)*(accident_year=$G6)*(total_claim_payment&lt;250000),""))</f>
        <v>35749.99</v>
      </c>
      <c r="L6" s="99" cm="1">
        <f t="array" ref="L6">SUM(_xlfn._xlws.FILTER(INDEX(yearly_total_payments,_xlfn.SEQUENCE(ROWS(yearly_total_payments)),MATCH(_xlfn.SEQUENCE(1,MATCH(L$5,$H$5:$O$5),$G6),$G$6:$G$13,0)),(claim_type=$C$5)*(accident_year=$G6)*(total_claim_payment&lt;250000),""))</f>
        <v>35749.99</v>
      </c>
      <c r="M6" s="99" cm="1">
        <f t="array" ref="M6">SUM(_xlfn._xlws.FILTER(INDEX(yearly_total_payments,_xlfn.SEQUENCE(ROWS(yearly_total_payments)),MATCH(_xlfn.SEQUENCE(1,MATCH(M$5,$H$5:$O$5),$G6),$G$6:$G$13,0)),(claim_type=$C$5)*(accident_year=$G6)*(total_claim_payment&lt;250000),""))</f>
        <v>35749.99</v>
      </c>
      <c r="N6" s="99" cm="1">
        <f t="array" ref="N6">SUM(_xlfn._xlws.FILTER(INDEX(yearly_total_payments,_xlfn.SEQUENCE(ROWS(yearly_total_payments)),MATCH(_xlfn.SEQUENCE(1,MATCH(N$5,$H$5:$O$5),$G6),$G$6:$G$13,0)),(claim_type=$C$5)*(accident_year=$G6)*(total_claim_payment&lt;250000),""))</f>
        <v>35749.99</v>
      </c>
      <c r="O6" s="100" cm="1">
        <f t="array" ref="O6">SUM(_xlfn._xlws.FILTER(INDEX(yearly_total_payments,_xlfn.SEQUENCE(ROWS(yearly_total_payments)),MATCH(_xlfn.SEQUENCE(1,MATCH(O$5,$H$5:$O$5),$G6),$G$6:$G$13,0)),(claim_type=$C$5)*(accident_year=$G6)*(total_claim_payment&lt;250000),""))</f>
        <v>35749.99</v>
      </c>
    </row>
    <row r="7" spans="2:15" x14ac:dyDescent="0.45">
      <c r="F7" s="94"/>
      <c r="G7" s="98">
        <v>2019</v>
      </c>
      <c r="H7" s="99" cm="1">
        <f t="array" ref="H7">SUM(_xlfn._xlws.FILTER(INDEX(yearly_total_payments,_xlfn.SEQUENCE(ROWS(yearly_total_payments)),MATCH(_xlfn.SEQUENCE(1,MATCH(H$5,$H$5:$O$5),$G7),$G$6:$G$13,0)),(claim_type=$C$5)*(accident_year=$G7)*(total_claim_payment&lt;250000),""))</f>
        <v>61545.59</v>
      </c>
      <c r="I7" s="99" cm="1">
        <f t="array" ref="I7">SUM(_xlfn._xlws.FILTER(INDEX(yearly_total_payments,_xlfn.SEQUENCE(ROWS(yearly_total_payments)),MATCH(_xlfn.SEQUENCE(1,MATCH(I$5,$H$5:$O$5),$G7),$G$6:$G$13,0)),(claim_type=$C$5)*(accident_year=$G7)*(total_claim_payment&lt;250000),""))</f>
        <v>95625.680000000022</v>
      </c>
      <c r="J7" s="99" cm="1">
        <f t="array" ref="J7">SUM(_xlfn._xlws.FILTER(INDEX(yearly_total_payments,_xlfn.SEQUENCE(ROWS(yearly_total_payments)),MATCH(_xlfn.SEQUENCE(1,MATCH(J$5,$H$5:$O$5),$G7),$G$6:$G$13,0)),(claim_type=$C$5)*(accident_year=$G7)*(total_claim_payment&lt;250000),""))</f>
        <v>95625.680000000022</v>
      </c>
      <c r="K7" s="99" cm="1">
        <f t="array" ref="K7">SUM(_xlfn._xlws.FILTER(INDEX(yearly_total_payments,_xlfn.SEQUENCE(ROWS(yearly_total_payments)),MATCH(_xlfn.SEQUENCE(1,MATCH(K$5,$H$5:$O$5),$G7),$G$6:$G$13,0)),(claim_type=$C$5)*(accident_year=$G7)*(total_claim_payment&lt;250000),""))</f>
        <v>95625.680000000022</v>
      </c>
      <c r="L7" s="99" cm="1">
        <f t="array" ref="L7">SUM(_xlfn._xlws.FILTER(INDEX(yearly_total_payments,_xlfn.SEQUENCE(ROWS(yearly_total_payments)),MATCH(_xlfn.SEQUENCE(1,MATCH(L$5,$H$5:$O$5),$G7),$G$6:$G$13,0)),(claim_type=$C$5)*(accident_year=$G7)*(total_claim_payment&lt;250000),""))</f>
        <v>95625.680000000022</v>
      </c>
      <c r="M7" s="99" cm="1">
        <f t="array" ref="M7">SUM(_xlfn._xlws.FILTER(INDEX(yearly_total_payments,_xlfn.SEQUENCE(ROWS(yearly_total_payments)),MATCH(_xlfn.SEQUENCE(1,MATCH(M$5,$H$5:$O$5),$G7),$G$6:$G$13,0)),(claim_type=$C$5)*(accident_year=$G7)*(total_claim_payment&lt;250000),""))</f>
        <v>95625.680000000022</v>
      </c>
      <c r="N7" s="99" cm="1">
        <f t="array" ref="N7">SUM(_xlfn._xlws.FILTER(INDEX(yearly_total_payments,_xlfn.SEQUENCE(ROWS(yearly_total_payments)),MATCH(_xlfn.SEQUENCE(1,MATCH(N$5,$H$5:$O$5),$G7),$G$6:$G$13,0)),(claim_type=$C$5)*(accident_year=$G7)*(total_claim_payment&lt;250000),""))</f>
        <v>95625.680000000022</v>
      </c>
      <c r="O7" s="101"/>
    </row>
    <row r="8" spans="2:15" x14ac:dyDescent="0.45">
      <c r="F8" s="94"/>
      <c r="G8" s="98">
        <v>2020</v>
      </c>
      <c r="H8" s="99" cm="1">
        <f t="array" ref="H8">SUM(_xlfn._xlws.FILTER(INDEX(yearly_total_payments,_xlfn.SEQUENCE(ROWS(yearly_total_payments)),MATCH(_xlfn.SEQUENCE(1,MATCH(H$5,$H$5:$O$5),$G8),$G$6:$G$13,0)),(claim_type=$C$5)*(accident_year=$G8)*(total_claim_payment&lt;250000),""))</f>
        <v>64692.740000000005</v>
      </c>
      <c r="I8" s="99" cm="1">
        <f t="array" ref="I8">SUM(_xlfn._xlws.FILTER(INDEX(yearly_total_payments,_xlfn.SEQUENCE(ROWS(yearly_total_payments)),MATCH(_xlfn.SEQUENCE(1,MATCH(I$5,$H$5:$O$5),$G8),$G$6:$G$13,0)),(claim_type=$C$5)*(accident_year=$G8)*(total_claim_payment&lt;250000),""))</f>
        <v>88920.969999999987</v>
      </c>
      <c r="J8" s="99" cm="1">
        <f t="array" ref="J8">SUM(_xlfn._xlws.FILTER(INDEX(yearly_total_payments,_xlfn.SEQUENCE(ROWS(yearly_total_payments)),MATCH(_xlfn.SEQUENCE(1,MATCH(J$5,$H$5:$O$5),$G8),$G$6:$G$13,0)),(claim_type=$C$5)*(accident_year=$G8)*(total_claim_payment&lt;250000),""))</f>
        <v>88920.969999999987</v>
      </c>
      <c r="K8" s="99" cm="1">
        <f t="array" ref="K8">SUM(_xlfn._xlws.FILTER(INDEX(yearly_total_payments,_xlfn.SEQUENCE(ROWS(yearly_total_payments)),MATCH(_xlfn.SEQUENCE(1,MATCH(K$5,$H$5:$O$5),$G8),$G$6:$G$13,0)),(claim_type=$C$5)*(accident_year=$G8)*(total_claim_payment&lt;250000),""))</f>
        <v>88920.969999999987</v>
      </c>
      <c r="L8" s="99" cm="1">
        <f t="array" ref="L8">SUM(_xlfn._xlws.FILTER(INDEX(yearly_total_payments,_xlfn.SEQUENCE(ROWS(yearly_total_payments)),MATCH(_xlfn.SEQUENCE(1,MATCH(L$5,$H$5:$O$5),$G8),$G$6:$G$13,0)),(claim_type=$C$5)*(accident_year=$G8)*(total_claim_payment&lt;250000),""))</f>
        <v>88920.969999999987</v>
      </c>
      <c r="M8" s="99" cm="1">
        <f t="array" ref="M8">SUM(_xlfn._xlws.FILTER(INDEX(yearly_total_payments,_xlfn.SEQUENCE(ROWS(yearly_total_payments)),MATCH(_xlfn.SEQUENCE(1,MATCH(M$5,$H$5:$O$5),$G8),$G$6:$G$13,0)),(claim_type=$C$5)*(accident_year=$G8)*(total_claim_payment&lt;250000),""))</f>
        <v>88920.969999999987</v>
      </c>
      <c r="O8" s="101"/>
    </row>
    <row r="9" spans="2:15" x14ac:dyDescent="0.45">
      <c r="F9" s="110" t="s">
        <v>591</v>
      </c>
      <c r="G9" s="98">
        <v>2021</v>
      </c>
      <c r="H9" s="99" cm="1">
        <f t="array" ref="H9">SUM(_xlfn._xlws.FILTER(INDEX(yearly_total_payments,_xlfn.SEQUENCE(ROWS(yearly_total_payments)),MATCH(_xlfn.SEQUENCE(1,MATCH(H$5,$H$5:$O$5),$G9),$G$6:$G$13,0)),(claim_type=$C$5)*(accident_year=$G9)*(total_claim_payment&lt;250000),""))</f>
        <v>72080.05</v>
      </c>
      <c r="I9" s="99" cm="1">
        <f t="array" ref="I9">SUM(_xlfn._xlws.FILTER(INDEX(yearly_total_payments,_xlfn.SEQUENCE(ROWS(yearly_total_payments)),MATCH(_xlfn.SEQUENCE(1,MATCH(I$5,$H$5:$O$5),$G9),$G$6:$G$13,0)),(claim_type=$C$5)*(accident_year=$G9)*(total_claim_payment&lt;250000),""))</f>
        <v>132370.56</v>
      </c>
      <c r="J9" s="99" cm="1">
        <f t="array" ref="J9">SUM(_xlfn._xlws.FILTER(INDEX(yearly_total_payments,_xlfn.SEQUENCE(ROWS(yearly_total_payments)),MATCH(_xlfn.SEQUENCE(1,MATCH(J$5,$H$5:$O$5),$G9),$G$6:$G$13,0)),(claim_type=$C$5)*(accident_year=$G9)*(total_claim_payment&lt;250000),""))</f>
        <v>134172.15</v>
      </c>
      <c r="K9" s="99" cm="1">
        <f t="array" ref="K9">SUM(_xlfn._xlws.FILTER(INDEX(yearly_total_payments,_xlfn.SEQUENCE(ROWS(yearly_total_payments)),MATCH(_xlfn.SEQUENCE(1,MATCH(K$5,$H$5:$O$5),$G9),$G$6:$G$13,0)),(claim_type=$C$5)*(accident_year=$G9)*(total_claim_payment&lt;250000),""))</f>
        <v>134172.15</v>
      </c>
      <c r="L9" s="99" cm="1">
        <f t="array" ref="L9">SUM(_xlfn._xlws.FILTER(INDEX(yearly_total_payments,_xlfn.SEQUENCE(ROWS(yearly_total_payments)),MATCH(_xlfn.SEQUENCE(1,MATCH(L$5,$H$5:$O$5),$G9),$G$6:$G$13,0)),(claim_type=$C$5)*(accident_year=$G9)*(total_claim_payment&lt;250000),""))</f>
        <v>134172.15</v>
      </c>
      <c r="O9" s="101"/>
    </row>
    <row r="10" spans="2:15" x14ac:dyDescent="0.45">
      <c r="F10" s="111"/>
      <c r="G10" s="98">
        <v>2022</v>
      </c>
      <c r="H10" s="99" cm="1">
        <f t="array" ref="H10">SUM(_xlfn._xlws.FILTER(INDEX(yearly_total_payments,_xlfn.SEQUENCE(ROWS(yearly_total_payments)),MATCH(_xlfn.SEQUENCE(1,MATCH(H$5,$H$5:$O$5),$G10),$G$6:$G$13,0)),(claim_type=$C$5)*(accident_year=$G10)*(total_claim_payment&lt;250000),""))</f>
        <v>71267.800000000017</v>
      </c>
      <c r="I10" s="99" cm="1">
        <f t="array" ref="I10">SUM(_xlfn._xlws.FILTER(INDEX(yearly_total_payments,_xlfn.SEQUENCE(ROWS(yearly_total_payments)),MATCH(_xlfn.SEQUENCE(1,MATCH(I$5,$H$5:$O$5),$G10),$G$6:$G$13,0)),(claim_type=$C$5)*(accident_year=$G10)*(total_claim_payment&lt;250000),""))</f>
        <v>122293.96000000004</v>
      </c>
      <c r="J10" s="99" cm="1">
        <f t="array" ref="J10">SUM(_xlfn._xlws.FILTER(INDEX(yearly_total_payments,_xlfn.SEQUENCE(ROWS(yearly_total_payments)),MATCH(_xlfn.SEQUENCE(1,MATCH(J$5,$H$5:$O$5),$G10),$G$6:$G$13,0)),(claim_type=$C$5)*(accident_year=$G10)*(total_claim_payment&lt;250000),""))</f>
        <v>122293.96000000004</v>
      </c>
      <c r="K10" s="99" cm="1">
        <f t="array" ref="K10">SUM(_xlfn._xlws.FILTER(INDEX(yearly_total_payments,_xlfn.SEQUENCE(ROWS(yearly_total_payments)),MATCH(_xlfn.SEQUENCE(1,MATCH(K$5,$H$5:$O$5),$G10),$G$6:$G$13,0)),(claim_type=$C$5)*(accident_year=$G10)*(total_claim_payment&lt;250000),""))</f>
        <v>122293.96000000004</v>
      </c>
      <c r="O10" s="101"/>
    </row>
    <row r="11" spans="2:15" x14ac:dyDescent="0.45">
      <c r="F11" s="94"/>
      <c r="G11" s="98">
        <v>2023</v>
      </c>
      <c r="H11" s="99" cm="1">
        <f t="array" ref="H11">SUM(_xlfn._xlws.FILTER(INDEX(yearly_total_payments,_xlfn.SEQUENCE(ROWS(yearly_total_payments)),MATCH(_xlfn.SEQUENCE(1,MATCH(H$5,$H$5:$O$5),$G11),$G$6:$G$13,0)),(claim_type=$C$5)*(accident_year=$G11)*(total_claim_payment&lt;250000),""))</f>
        <v>110404.26000000001</v>
      </c>
      <c r="I11" s="99" cm="1">
        <f t="array" ref="I11">SUM(_xlfn._xlws.FILTER(INDEX(yearly_total_payments,_xlfn.SEQUENCE(ROWS(yearly_total_payments)),MATCH(_xlfn.SEQUENCE(1,MATCH(I$5,$H$5:$O$5),$G11),$G$6:$G$13,0)),(claim_type=$C$5)*(accident_year=$G11)*(total_claim_payment&lt;250000),""))</f>
        <v>163538.18999999997</v>
      </c>
      <c r="J11" s="99" cm="1">
        <f t="array" ref="J11">SUM(_xlfn._xlws.FILTER(INDEX(yearly_total_payments,_xlfn.SEQUENCE(ROWS(yearly_total_payments)),MATCH(_xlfn.SEQUENCE(1,MATCH(J$5,$H$5:$O$5),$G11),$G$6:$G$13,0)),(claim_type=$C$5)*(accident_year=$G11)*(total_claim_payment&lt;250000),""))</f>
        <v>165293.15999999995</v>
      </c>
      <c r="O11" s="101"/>
    </row>
    <row r="12" spans="2:15" x14ac:dyDescent="0.45">
      <c r="F12" s="94"/>
      <c r="G12" s="98">
        <v>2024</v>
      </c>
      <c r="H12" s="99" cm="1">
        <f t="array" ref="H12">SUM(_xlfn._xlws.FILTER(INDEX(yearly_total_payments,_xlfn.SEQUENCE(ROWS(yearly_total_payments)),MATCH(_xlfn.SEQUENCE(1,MATCH(H$5,$H$5:$O$5),$G12),$G$6:$G$13,0)),(claim_type=$C$5)*(accident_year=$G12)*(total_claim_payment&lt;250000),""))</f>
        <v>112595.13000000003</v>
      </c>
      <c r="I12" s="99" cm="1">
        <f t="array" ref="I12">SUM(_xlfn._xlws.FILTER(INDEX(yearly_total_payments,_xlfn.SEQUENCE(ROWS(yearly_total_payments)),MATCH(_xlfn.SEQUENCE(1,MATCH(I$5,$H$5:$O$5),$G12),$G$6:$G$13,0)),(claim_type=$C$5)*(accident_year=$G12)*(total_claim_payment&lt;250000),""))</f>
        <v>182005.26000000004</v>
      </c>
      <c r="O12" s="101"/>
    </row>
    <row r="13" spans="2:15" ht="14.65" thickBot="1" x14ac:dyDescent="0.5">
      <c r="F13" s="102"/>
      <c r="G13" s="103">
        <v>2025</v>
      </c>
      <c r="H13" s="104" cm="1">
        <f t="array" ref="H13">SUM(_xlfn._xlws.FILTER(INDEX(yearly_total_payments,_xlfn.SEQUENCE(ROWS(yearly_total_payments)),MATCH(_xlfn.SEQUENCE(1,MATCH(H$5,$H$5:$O$5),$G13),$G$6:$G$13,0)),(claim_type=$C$5)*(accident_year=$G13)*(total_claim_payment&lt;250000),""))</f>
        <v>86727.23</v>
      </c>
      <c r="I13" s="96"/>
      <c r="J13" s="96"/>
      <c r="K13" s="96"/>
      <c r="L13" s="96"/>
      <c r="M13" s="96"/>
      <c r="N13" s="96"/>
      <c r="O13" s="97"/>
    </row>
    <row r="15" spans="2:15" ht="14.65" thickBot="1" x14ac:dyDescent="0.5"/>
    <row r="16" spans="2:15" x14ac:dyDescent="0.45">
      <c r="F16" s="116" t="s">
        <v>586</v>
      </c>
      <c r="G16" s="117"/>
      <c r="H16" s="117"/>
      <c r="I16" s="106" t="str">
        <f>"12-24"</f>
        <v>12-24</v>
      </c>
      <c r="J16" s="107" t="str">
        <f>"24-36"</f>
        <v>24-36</v>
      </c>
      <c r="K16" s="107" t="str">
        <f>"36-48"</f>
        <v>36-48</v>
      </c>
      <c r="L16" s="107" t="str">
        <f>"48-60"</f>
        <v>48-60</v>
      </c>
      <c r="M16" s="107" t="str">
        <f>"60-72"</f>
        <v>60-72</v>
      </c>
      <c r="N16" s="107" t="str">
        <f>"72-84"</f>
        <v>72-84</v>
      </c>
      <c r="O16" s="108" t="str">
        <f>"84-96"</f>
        <v>84-96</v>
      </c>
    </row>
    <row r="17" spans="6:15" ht="14.65" thickBot="1" x14ac:dyDescent="0.5">
      <c r="F17" s="114" t="s">
        <v>593</v>
      </c>
      <c r="G17" s="115"/>
      <c r="H17" s="115"/>
      <c r="I17" s="104" cm="1">
        <f t="array" ref="I17">AVERAGE(I6:I12/H6:H12)</f>
        <v>1.6407123318120043</v>
      </c>
      <c r="J17" s="104" cm="1">
        <f t="array" ref="J17">AVERAGE(J6:J11/I6:I11)</f>
        <v>1.0040569094043896</v>
      </c>
      <c r="K17" s="104" cm="1">
        <f t="array" ref="K17">AVERAGE(K6:K10/J6:J10)</f>
        <v>1</v>
      </c>
      <c r="L17" s="104" cm="1">
        <f t="array" ref="L17">AVERAGE(L6:L9/K6:K9)</f>
        <v>1</v>
      </c>
      <c r="M17" s="104" cm="1">
        <f t="array" ref="M17">AVERAGE(M6:M8/L6:L8)</f>
        <v>1</v>
      </c>
      <c r="N17" s="104" cm="1">
        <f t="array" ref="N17">AVERAGE(N6:N7/M6:M7)</f>
        <v>1</v>
      </c>
      <c r="O17" s="105">
        <f>AVERAGE(O6/N6)</f>
        <v>1</v>
      </c>
    </row>
  </sheetData>
  <mergeCells count="5">
    <mergeCell ref="B3:C3"/>
    <mergeCell ref="F9:F10"/>
    <mergeCell ref="H4:O4"/>
    <mergeCell ref="F17:H17"/>
    <mergeCell ref="F16:H1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Dataset'!$B$3:$B$499</xm:f>
          </x14:formula1>
          <xm:sqref>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F10" sqref="F10"/>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29" t="s">
        <v>0</v>
      </c>
      <c r="C2" s="129"/>
      <c r="D2" s="129"/>
      <c r="E2" s="129"/>
      <c r="F2" s="129"/>
    </row>
    <row r="3" spans="2:6" ht="18" customHeight="1" x14ac:dyDescent="0.45">
      <c r="B3" s="130" t="s">
        <v>1</v>
      </c>
      <c r="C3" s="130"/>
      <c r="D3" s="130"/>
      <c r="E3" s="130"/>
      <c r="F3" s="130"/>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31" t="s">
        <v>22</v>
      </c>
      <c r="C12" s="131"/>
      <c r="D12" s="131"/>
      <c r="E12" s="131"/>
      <c r="F12" s="131"/>
    </row>
    <row r="13" spans="2:6" ht="36" customHeight="1" x14ac:dyDescent="0.45">
      <c r="B13" s="27" t="s">
        <v>23</v>
      </c>
      <c r="C13" s="132" t="s">
        <v>24</v>
      </c>
      <c r="D13" s="132"/>
      <c r="E13" s="132"/>
      <c r="F13" s="132"/>
    </row>
    <row r="15" spans="2:6" ht="13.5" customHeight="1" x14ac:dyDescent="0.45">
      <c r="B15" s="128" t="s">
        <v>25</v>
      </c>
      <c r="C15" s="128"/>
      <c r="D15" s="128"/>
      <c r="E15" s="128"/>
      <c r="F15" s="128"/>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A5" sqref="A5:F5"/>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34" t="s">
        <v>26</v>
      </c>
      <c r="B2" s="134"/>
      <c r="C2" s="134"/>
      <c r="D2" s="134"/>
      <c r="E2" s="134"/>
      <c r="F2" s="134"/>
    </row>
    <row r="3" spans="1:6" ht="15.75" customHeight="1" x14ac:dyDescent="0.45">
      <c r="A3" s="135" t="s">
        <v>27</v>
      </c>
      <c r="B3" s="135"/>
      <c r="C3" s="135"/>
      <c r="D3" s="135"/>
      <c r="E3" s="135"/>
      <c r="F3" s="135"/>
    </row>
    <row r="4" spans="1:6" ht="12" customHeight="1" x14ac:dyDescent="0.45"/>
    <row r="5" spans="1:6" ht="18" customHeight="1" x14ac:dyDescent="0.45">
      <c r="A5" s="136" t="s">
        <v>28</v>
      </c>
      <c r="B5" s="136"/>
      <c r="C5" s="136"/>
      <c r="D5" s="136"/>
      <c r="E5" s="136"/>
      <c r="F5" s="136"/>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33" t="s">
        <v>34</v>
      </c>
      <c r="B9" s="133"/>
      <c r="C9" s="133"/>
      <c r="D9" s="133"/>
      <c r="E9" s="133"/>
      <c r="F9" s="133"/>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16" sqref="B16"/>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37" t="s">
        <v>35</v>
      </c>
      <c r="B2" s="137"/>
      <c r="C2" s="137"/>
      <c r="D2" s="137"/>
      <c r="E2" s="137"/>
      <c r="F2" s="137"/>
      <c r="G2" s="137"/>
    </row>
    <row r="3" spans="1:7" ht="15.75" customHeight="1" x14ac:dyDescent="0.45">
      <c r="A3" s="138" t="s">
        <v>36</v>
      </c>
      <c r="B3" s="138"/>
      <c r="C3" s="138"/>
      <c r="D3" s="138"/>
      <c r="E3" s="138"/>
      <c r="F3" s="138"/>
      <c r="G3" s="138"/>
    </row>
    <row r="4" spans="1:7" ht="12" customHeight="1" x14ac:dyDescent="0.45"/>
    <row r="5" spans="1:7" ht="18" customHeight="1" x14ac:dyDescent="0.45">
      <c r="A5" s="139" t="s">
        <v>28</v>
      </c>
      <c r="B5" s="139"/>
      <c r="C5" s="139"/>
      <c r="D5" s="139"/>
      <c r="E5" s="139"/>
      <c r="F5" s="139"/>
      <c r="G5" s="139"/>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33" t="s">
        <v>34</v>
      </c>
      <c r="B9" s="133"/>
      <c r="C9" s="133"/>
      <c r="D9" s="133"/>
      <c r="E9" s="133"/>
      <c r="F9" s="133"/>
      <c r="G9" s="133"/>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C16" sqref="C1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40" t="s">
        <v>39</v>
      </c>
      <c r="B2" s="140"/>
      <c r="C2" s="140"/>
      <c r="D2" s="140"/>
      <c r="E2" s="140"/>
      <c r="F2" s="140"/>
      <c r="G2" s="140"/>
      <c r="H2" s="140"/>
    </row>
    <row r="3" spans="1:8" ht="15.75" customHeight="1" x14ac:dyDescent="0.45">
      <c r="A3" s="141" t="s">
        <v>40</v>
      </c>
      <c r="B3" s="141"/>
      <c r="C3" s="141"/>
      <c r="D3" s="141"/>
      <c r="E3" s="141"/>
      <c r="F3" s="141"/>
      <c r="G3" s="141"/>
      <c r="H3" s="141"/>
    </row>
    <row r="4" spans="1:8" ht="12" customHeight="1" x14ac:dyDescent="0.45"/>
    <row r="5" spans="1:8" ht="18" customHeight="1" x14ac:dyDescent="0.45">
      <c r="A5" s="142" t="s">
        <v>28</v>
      </c>
      <c r="B5" s="142"/>
      <c r="C5" s="142"/>
      <c r="D5" s="142"/>
      <c r="E5" s="142"/>
      <c r="F5" s="142"/>
      <c r="G5" s="142"/>
      <c r="H5" s="142"/>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33" t="s">
        <v>34</v>
      </c>
      <c r="B9" s="133"/>
      <c r="C9" s="133"/>
      <c r="D9" s="133"/>
      <c r="E9" s="133"/>
      <c r="F9" s="133"/>
      <c r="G9" s="133"/>
      <c r="H9" s="133"/>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topLeftCell="B1" zoomScale="90" zoomScaleNormal="90" workbookViewId="0">
      <selection activeCell="F23" sqref="F23"/>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43" t="s">
        <v>43</v>
      </c>
      <c r="B2" s="143"/>
      <c r="C2" s="143"/>
      <c r="D2" s="143"/>
      <c r="E2" s="143"/>
      <c r="F2" s="143"/>
      <c r="G2" s="143"/>
      <c r="H2" s="143"/>
      <c r="I2" s="143"/>
      <c r="J2" s="143"/>
    </row>
    <row r="3" spans="1:10" ht="15.75" customHeight="1" x14ac:dyDescent="0.45">
      <c r="A3" s="144" t="s">
        <v>44</v>
      </c>
      <c r="B3" s="144"/>
      <c r="C3" s="144"/>
      <c r="D3" s="144"/>
      <c r="E3" s="144"/>
      <c r="F3" s="144"/>
      <c r="G3" s="144"/>
      <c r="H3" s="144"/>
      <c r="I3" s="144"/>
      <c r="J3" s="144"/>
    </row>
    <row r="4" spans="1:10" ht="12" customHeight="1" x14ac:dyDescent="0.45"/>
    <row r="5" spans="1:10" ht="18" customHeight="1" x14ac:dyDescent="0.45">
      <c r="A5" s="145" t="s">
        <v>28</v>
      </c>
      <c r="B5" s="145"/>
      <c r="C5" s="145"/>
      <c r="D5" s="145"/>
      <c r="E5" s="145"/>
      <c r="F5" s="145"/>
      <c r="G5" s="145"/>
      <c r="H5" s="145"/>
      <c r="I5" s="145"/>
      <c r="J5" s="145"/>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33" t="s">
        <v>34</v>
      </c>
      <c r="B9" s="133"/>
      <c r="C9" s="133"/>
      <c r="D9" s="133"/>
      <c r="E9" s="133"/>
      <c r="F9" s="133"/>
      <c r="G9" s="133"/>
      <c r="H9" s="133"/>
      <c r="I9" s="133"/>
      <c r="J9" s="133"/>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22" sqref="B22"/>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46" t="s">
        <v>48</v>
      </c>
      <c r="B2" s="146"/>
      <c r="C2" s="146"/>
      <c r="D2" s="146"/>
      <c r="E2" s="146"/>
      <c r="F2" s="146"/>
      <c r="G2" s="146"/>
      <c r="H2" s="146"/>
      <c r="I2" s="146"/>
      <c r="J2" s="146"/>
      <c r="K2" s="146"/>
      <c r="L2" s="146"/>
      <c r="M2" s="146"/>
    </row>
    <row r="3" spans="1:13" ht="15.75" customHeight="1" x14ac:dyDescent="0.45">
      <c r="A3" s="147" t="s">
        <v>49</v>
      </c>
      <c r="B3" s="147"/>
      <c r="C3" s="147"/>
      <c r="D3" s="147"/>
      <c r="E3" s="147"/>
      <c r="F3" s="147"/>
      <c r="G3" s="147"/>
      <c r="H3" s="147"/>
      <c r="I3" s="147"/>
      <c r="J3" s="147"/>
      <c r="K3" s="147"/>
      <c r="L3" s="147"/>
      <c r="M3" s="147"/>
    </row>
    <row r="4" spans="1:13" ht="12" customHeight="1" x14ac:dyDescent="0.45"/>
    <row r="5" spans="1:13" ht="18" customHeight="1" x14ac:dyDescent="0.45">
      <c r="A5" s="148" t="s">
        <v>28</v>
      </c>
      <c r="B5" s="148"/>
      <c r="C5" s="148"/>
      <c r="D5" s="148"/>
      <c r="E5" s="148"/>
      <c r="F5" s="148"/>
      <c r="G5" s="148"/>
      <c r="H5" s="148"/>
      <c r="I5" s="148"/>
      <c r="J5" s="148"/>
      <c r="K5" s="148"/>
      <c r="L5" s="148"/>
      <c r="M5" s="148"/>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33" t="s">
        <v>34</v>
      </c>
      <c r="B9" s="133"/>
      <c r="C9" s="133"/>
      <c r="D9" s="133"/>
      <c r="E9" s="133"/>
      <c r="F9" s="133"/>
      <c r="G9" s="133"/>
      <c r="H9" s="133"/>
      <c r="I9" s="133"/>
      <c r="J9" s="133"/>
      <c r="K9" s="133"/>
      <c r="L9" s="133"/>
      <c r="M9" s="133"/>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1. ENC - Home Dataset</vt:lpstr>
      <vt:lpstr>1. ENC - Home Dataset (2)</vt:lpstr>
      <vt:lpstr>Loss Development Triangle</vt:lpstr>
      <vt:lpstr>2. Index</vt:lpstr>
      <vt:lpstr>3. Theft</vt:lpstr>
      <vt:lpstr>4. Wind-Hail</vt:lpstr>
      <vt:lpstr>5. Water_Damage</vt:lpstr>
      <vt:lpstr>6. Flood</vt:lpstr>
      <vt:lpstr>7. Fire</vt:lpstr>
      <vt:lpstr>accident_year</vt:lpstr>
      <vt:lpstr>claim_type</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2026-08-09T22:41:18Z</dcterms:modified>
  <dc:language>en-US</dc:language>
</cp:coreProperties>
</file>